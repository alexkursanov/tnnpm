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User\Nathalie\Electro\AGEING\Клетка_TP_new release_ Tomek CaMK_fractional step\"/>
    </mc:Choice>
  </mc:AlternateContent>
  <bookViews>
    <workbookView xWindow="15990" yWindow="0" windowWidth="27120" windowHeight="130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1" l="1"/>
  <c r="D44" i="1"/>
  <c r="N2" i="1" l="1"/>
  <c r="D86" i="1" l="1"/>
  <c r="E86" i="1" s="1"/>
  <c r="D13" i="1"/>
  <c r="E13" i="1" s="1"/>
  <c r="D11" i="1"/>
  <c r="E11" i="1" s="1"/>
  <c r="D10" i="1"/>
  <c r="E10" i="1" s="1"/>
  <c r="D12" i="1"/>
  <c r="E12" i="1" s="1"/>
  <c r="D61" i="1"/>
  <c r="E61" i="1" s="1"/>
  <c r="E33" i="1"/>
  <c r="E34" i="1"/>
  <c r="E59" i="1"/>
  <c r="E66" i="1"/>
  <c r="E67" i="1"/>
  <c r="E68" i="1"/>
  <c r="E108" i="1"/>
  <c r="E109" i="1"/>
  <c r="E114" i="1"/>
  <c r="E115" i="1"/>
  <c r="E116" i="1"/>
  <c r="E117" i="1"/>
  <c r="E118" i="1"/>
  <c r="E119" i="1"/>
  <c r="E120" i="1"/>
  <c r="E121" i="1"/>
  <c r="D113" i="1"/>
  <c r="E113" i="1" s="1"/>
  <c r="E112" i="1"/>
  <c r="D111" i="1"/>
  <c r="E111" i="1" s="1"/>
  <c r="D110" i="1"/>
  <c r="E110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5" i="1"/>
  <c r="E65" i="1" s="1"/>
  <c r="D64" i="1"/>
  <c r="E64" i="1" s="1"/>
  <c r="D63" i="1"/>
  <c r="E63" i="1" s="1"/>
  <c r="D62" i="1"/>
  <c r="E62" i="1" s="1"/>
  <c r="D60" i="1"/>
  <c r="E60" i="1" s="1"/>
  <c r="D59" i="1"/>
  <c r="E58" i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E48" i="1"/>
  <c r="D47" i="1"/>
  <c r="E47" i="1" s="1"/>
  <c r="D46" i="1"/>
  <c r="E46" i="1" s="1"/>
  <c r="D45" i="1"/>
  <c r="E45" i="1" s="1"/>
  <c r="E44" i="1"/>
  <c r="D41" i="1"/>
  <c r="E41" i="1" s="1"/>
  <c r="D42" i="1"/>
  <c r="E42" i="1" s="1"/>
  <c r="D43" i="1"/>
  <c r="E43" i="1" s="1"/>
  <c r="D40" i="1"/>
  <c r="E40" i="1" s="1"/>
  <c r="D39" i="1"/>
  <c r="E39" i="1" s="1"/>
  <c r="D38" i="1"/>
  <c r="E38" i="1" s="1"/>
  <c r="D37" i="1"/>
  <c r="E37" i="1" s="1"/>
  <c r="D35" i="1"/>
  <c r="E35" i="1" s="1"/>
  <c r="D36" i="1"/>
  <c r="E36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E1" i="1"/>
</calcChain>
</file>

<file path=xl/sharedStrings.xml><?xml version="1.0" encoding="utf-8"?>
<sst xmlns="http://schemas.openxmlformats.org/spreadsheetml/2006/main" count="273" uniqueCount="273">
  <si>
    <t>{0} 'Temperature',</t>
  </si>
  <si>
    <t>{1} 'Vc',</t>
  </si>
  <si>
    <t>{2} 'VLR',</t>
  </si>
  <si>
    <t>{3} 'Vss',</t>
  </si>
  <si>
    <t>{4} '[Ca]o',</t>
  </si>
  <si>
    <t>{5} '[Na]o',</t>
  </si>
  <si>
    <t>{6} '[K]o',</t>
  </si>
  <si>
    <t>{7} 'Capacitance',</t>
  </si>
  <si>
    <t>{8} 'VTC');</t>
  </si>
  <si>
    <t>{0}  'K1_prime',</t>
  </si>
  <si>
    <t>{1}  'K2_prime',</t>
  </si>
  <si>
    <t>{2}  'k3',</t>
  </si>
  <si>
    <t>{3}  'k4',</t>
  </si>
  <si>
    <t>{4}  'Kup',</t>
  </si>
  <si>
    <t>{5}  'max_SR',</t>
  </si>
  <si>
    <t>{6}  'min_SR',</t>
  </si>
  <si>
    <t>{7}  'EC',</t>
  </si>
  <si>
    <t>{8}  'Vleak',</t>
  </si>
  <si>
    <t>{9}  'Vrel',</t>
  </si>
  <si>
    <t>{10} 'Vxfer',</t>
  </si>
  <si>
    <t>{11} 'Vmaxup',</t>
  </si>
  <si>
    <t>{12} 'Bufc',</t>
  </si>
  <si>
    <t>{13} 'BufSR',</t>
  </si>
  <si>
    <t>{14} 'Bufss',</t>
  </si>
  <si>
    <t>{15} 'Kbuffc',</t>
  </si>
  <si>
    <t>{16} 'KbuffSR',</t>
  </si>
  <si>
    <t>{17} 'KbuffSS',</t>
  </si>
  <si>
    <t>{18} 'TnС общий',</t>
  </si>
  <si>
    <t>{19} 'Константа связывания TnС',</t>
  </si>
  <si>
    <t>{20} 'Константа распада TnС',</t>
  </si>
  <si>
    <t>{21} 'qa',</t>
  </si>
  <si>
    <t>{22} 'kdecay',</t>
  </si>
  <si>
    <t>{23} 'kinh',</t>
  </si>
  <si>
    <t>{24} 'ktr'</t>
  </si>
  <si>
    <t>{0} 'alfa1',</t>
  </si>
  <si>
    <t>{1} 'beta1',</t>
  </si>
  <si>
    <t>{2} 'alfa2',</t>
  </si>
  <si>
    <t>{3} 'beta2',</t>
  </si>
  <si>
    <t>{4} 'lambda',</t>
  </si>
  <si>
    <t>{5} 'q1',</t>
  </si>
  <si>
    <t>{6} 'q2',</t>
  </si>
  <si>
    <t>{7} 'q3',</t>
  </si>
  <si>
    <t>{8} 'q4',</t>
  </si>
  <si>
    <t>{9} 'vmax', {скорость укорочения при нулевой нагрузке}</t>
  </si>
  <si>
    <t>{10} 'a',</t>
  </si>
  <si>
    <t>{11} 'alfaq',</t>
  </si>
  <si>
    <t>{12} 'betaq',</t>
  </si>
  <si>
    <t>{13} 'Xst', {Хst=Vst/Vmax , Vst-скорость при которой резко уменьшается qn}</t>
  </si>
  <si>
    <t>{14} 'alfag',</t>
  </si>
  <si>
    <t>{15} 'm0',{начальная величина вероятности прикрепления n2}</t>
  </si>
  <si>
    <t>{16} 'g1',</t>
  </si>
  <si>
    <t>{17} 'g2',</t>
  </si>
  <si>
    <t>{18} 's0',</t>
  </si>
  <si>
    <t>{19} 'каппа1', {изменение циклирования мостика}</t>
  </si>
  <si>
    <t>{20} 'pimin',</t>
  </si>
  <si>
    <t>{21} 'ro',</t>
  </si>
  <si>
    <t>{22} 'd',</t>
  </si>
  <si>
    <t>{23} 'x1',</t>
  </si>
  <si>
    <t>{24} 'x0',</t>
  </si>
  <si>
    <t>{25} 'm' ,</t>
  </si>
  <si>
    <t>{26}  'каппа0',</t>
  </si>
  <si>
    <t>{27}  'alphap' ,</t>
  </si>
  <si>
    <t>{28}  'qst',</t>
  </si>
  <si>
    <t>{29}  'alpha3',</t>
  </si>
  <si>
    <t>{30}  'beta3',</t>
  </si>
  <si>
    <t>{31}  'alpha_tir',</t>
  </si>
  <si>
    <t>{32}  'beta_tir',</t>
  </si>
  <si>
    <t>{33}  'l_tir',</t>
  </si>
  <si>
    <t>{34}  'vs1',</t>
  </si>
  <si>
    <t>{35}  'alp_vp',</t>
  </si>
  <si>
    <t>{36}  'vs1rel',</t>
  </si>
  <si>
    <t>{37}  'alp_vpr',</t>
  </si>
  <si>
    <t>{38}  'vs2',</t>
  </si>
  <si>
    <t>{39}  'alp_vs',</t>
  </si>
  <si>
    <t>{40}  'vs2rel',</t>
  </si>
  <si>
    <t>{41}  'alp_vsr',</t>
  </si>
  <si>
    <t>{42}  'sc',</t>
  </si>
  <si>
    <t>{43}  'k_mu',</t>
  </si>
  <si>
    <t>{44}  'mu1',</t>
  </si>
  <si>
    <t>{45}  'kappa2',</t>
  </si>
  <si>
    <t>{46}  'Bl1',</t>
  </si>
  <si>
    <t>{47}  'Ql1',</t>
  </si>
  <si>
    <t>{48}  'Kl1',</t>
  </si>
  <si>
    <t>{49}  'Al1',</t>
  </si>
  <si>
    <t>{50}  'Cl1',</t>
  </si>
  <si>
    <t>{51}  'nul1');</t>
  </si>
  <si>
    <t>{0} 'gkr',</t>
  </si>
  <si>
    <t>{1} 'gpk',</t>
  </si>
  <si>
    <t>{2} 'gks',</t>
  </si>
  <si>
    <t>{3} 'gK1',</t>
  </si>
  <si>
    <t>{4} 'pNaK',</t>
  </si>
  <si>
    <t>{5} 'pKNa',</t>
  </si>
  <si>
    <t>{6} 'kmK',</t>
  </si>
  <si>
    <t>{7} 'kmNa',</t>
  </si>
  <si>
    <t>{8} 'gto',</t>
  </si>
  <si>
    <t>{9} 'gNa',</t>
  </si>
  <si>
    <t>{10} 'gbNa',</t>
  </si>
  <si>
    <t>{11} 'alpha_NaCa',</t>
  </si>
  <si>
    <t>{12} 'gamma_NaCa',</t>
  </si>
  <si>
    <t>{13} 'kNaCa',</t>
  </si>
  <si>
    <t>{14} 'Ksat',</t>
  </si>
  <si>
    <t>{15} 'KmCa',</t>
  </si>
  <si>
    <t>{16} 'KmNai',</t>
  </si>
  <si>
    <t>{17} 'gbCa',</t>
  </si>
  <si>
    <t>{18} 'gpCa',</t>
  </si>
  <si>
    <t>{19} 'KpCa',</t>
  </si>
  <si>
    <t>{20} 'gCaL',</t>
  </si>
  <si>
    <t>{21} 'Casense',</t>
  </si>
  <si>
    <t>{22} 'kCasense'</t>
  </si>
  <si>
    <t>{123}  '[ATP]i',</t>
  </si>
  <si>
    <t>{124}  'K(0,5)',</t>
  </si>
  <si>
    <t>{125} 'H',</t>
  </si>
  <si>
    <t>{126} 'Ko,norm'</t>
  </si>
  <si>
    <t>'DiupCaMK',//data7[0]</t>
  </si>
  <si>
    <t>'DKmPLB',//data7[1]</t>
  </si>
  <si>
    <t>'Km_CaMK',//data7[2]</t>
  </si>
  <si>
    <t>'aCaMK',//data7[3]</t>
  </si>
  <si>
    <t>'bCaMK',//data7[4]</t>
  </si>
  <si>
    <t>'CaMK0',//data7[5]</t>
  </si>
  <si>
    <t>'KmCaMK',//data7[6]</t>
  </si>
  <si>
    <t>'beta_tau' // data7[7]</t>
  </si>
  <si>
    <t>EC</t>
  </si>
  <si>
    <t>a</t>
  </si>
  <si>
    <t>k_mu</t>
  </si>
  <si>
    <t>ATPi</t>
  </si>
  <si>
    <t>A_init</t>
  </si>
  <si>
    <t>A_tot</t>
  </si>
  <si>
    <t>Buf_c</t>
  </si>
  <si>
    <t>Buf_jsr</t>
  </si>
  <si>
    <t>Buf_sr</t>
  </si>
  <si>
    <t>Buf_ss</t>
  </si>
  <si>
    <t>CaMKt_init</t>
  </si>
  <si>
    <t>Ca_SR_init</t>
  </si>
  <si>
    <t>Ca_i_init</t>
  </si>
  <si>
    <t>Ca_jSR_init</t>
  </si>
  <si>
    <t>Ca_nSR_init</t>
  </si>
  <si>
    <t>Ca_o</t>
  </si>
  <si>
    <t>Ca_ss_init</t>
  </si>
  <si>
    <t>Cm</t>
  </si>
  <si>
    <t>F</t>
  </si>
  <si>
    <t>F_afterload</t>
  </si>
  <si>
    <t>I_init</t>
  </si>
  <si>
    <t>K_NaCa</t>
  </si>
  <si>
    <t>K_buf_c</t>
  </si>
  <si>
    <t>K_buf_jsr</t>
  </si>
  <si>
    <t>K_buf_sr</t>
  </si>
  <si>
    <t>K_buf_ss</t>
  </si>
  <si>
    <t>K_i_init</t>
  </si>
  <si>
    <t>K_lrg_p</t>
  </si>
  <si>
    <t>K_mNa</t>
  </si>
  <si>
    <t>K_mk</t>
  </si>
  <si>
    <t>K_o</t>
  </si>
  <si>
    <t>K_pCa</t>
  </si>
  <si>
    <t>K_sat</t>
  </si>
  <si>
    <t>K_up</t>
  </si>
  <si>
    <t>KmATP</t>
  </si>
  <si>
    <t>Km_Ca</t>
  </si>
  <si>
    <t>Km_Nai</t>
  </si>
  <si>
    <t>N_init</t>
  </si>
  <si>
    <t>Na_i_init</t>
  </si>
  <si>
    <t>Na_o</t>
  </si>
  <si>
    <t>O_init</t>
  </si>
  <si>
    <t>P_NaK</t>
  </si>
  <si>
    <t>P_kna</t>
  </si>
  <si>
    <t>R</t>
  </si>
  <si>
    <t>RI_init</t>
  </si>
  <si>
    <t>R_init</t>
  </si>
  <si>
    <t>T</t>
  </si>
  <si>
    <t>V_c</t>
  </si>
  <si>
    <t>V_init</t>
  </si>
  <si>
    <t>V_jSR</t>
  </si>
  <si>
    <t>V_leak</t>
  </si>
  <si>
    <t>V_nSR</t>
  </si>
  <si>
    <t>V_rel</t>
  </si>
  <si>
    <t>V_sr</t>
  </si>
  <si>
    <t>V_ss</t>
  </si>
  <si>
    <t>V_xfer</t>
  </si>
  <si>
    <t>Vmax_up</t>
  </si>
  <si>
    <t>Xr1_init</t>
  </si>
  <si>
    <t>Xr2_init</t>
  </si>
  <si>
    <t>Xs_init</t>
  </si>
  <si>
    <t>a_off</t>
  </si>
  <si>
    <t>a_on</t>
  </si>
  <si>
    <t>alpha</t>
  </si>
  <si>
    <t>alpha_1</t>
  </si>
  <si>
    <t>alpha_2</t>
  </si>
  <si>
    <t>alpha_3</t>
  </si>
  <si>
    <t>alpha_G</t>
  </si>
  <si>
    <t>alpha_P</t>
  </si>
  <si>
    <t>alpha_Q</t>
  </si>
  <si>
    <t>alpha_vp_l</t>
  </si>
  <si>
    <t>alpha_vp_s</t>
  </si>
  <si>
    <t>alpha_vs_l</t>
  </si>
  <si>
    <t>alpha_vs_s</t>
  </si>
  <si>
    <t>beta_1</t>
  </si>
  <si>
    <t>beta_2</t>
  </si>
  <si>
    <t>beta_3</t>
  </si>
  <si>
    <t>beta_Q</t>
  </si>
  <si>
    <t>beta_vp_l</t>
  </si>
  <si>
    <t>beta_vp_s</t>
  </si>
  <si>
    <t>beta_vs_l</t>
  </si>
  <si>
    <t>beta_vs_s</t>
  </si>
  <si>
    <t>chi_0</t>
  </si>
  <si>
    <t>chi_1</t>
  </si>
  <si>
    <t>chi_2</t>
  </si>
  <si>
    <t>d_h</t>
  </si>
  <si>
    <t>d_init</t>
  </si>
  <si>
    <t>f2_init</t>
  </si>
  <si>
    <t>fCass_init</t>
  </si>
  <si>
    <t>f_init</t>
  </si>
  <si>
    <t>g_1</t>
  </si>
  <si>
    <t>g_2</t>
  </si>
  <si>
    <t>g_CaL</t>
  </si>
  <si>
    <t>g_K1</t>
  </si>
  <si>
    <t>g_K_ATP</t>
  </si>
  <si>
    <t>g_Kr</t>
  </si>
  <si>
    <t>g_Ks</t>
  </si>
  <si>
    <t>g_Na</t>
  </si>
  <si>
    <t>g_bCa</t>
  </si>
  <si>
    <t>g_bna</t>
  </si>
  <si>
    <t>g_pCa</t>
  </si>
  <si>
    <t>g_pK</t>
  </si>
  <si>
    <t>g_to</t>
  </si>
  <si>
    <t>gamma</t>
  </si>
  <si>
    <t>h_init</t>
  </si>
  <si>
    <t>j_init</t>
  </si>
  <si>
    <t>k_A</t>
  </si>
  <si>
    <t>k_i_Ca</t>
  </si>
  <si>
    <t>k_im</t>
  </si>
  <si>
    <t>k_o_Ca</t>
  </si>
  <si>
    <t>k_om</t>
  </si>
  <si>
    <t>k_sm_p</t>
  </si>
  <si>
    <t>l0</t>
  </si>
  <si>
    <t>l_1_init</t>
  </si>
  <si>
    <t>l_2_init</t>
  </si>
  <si>
    <t>l_3_init</t>
  </si>
  <si>
    <t>llambda</t>
  </si>
  <si>
    <t>m_0</t>
  </si>
  <si>
    <t>m_init</t>
  </si>
  <si>
    <t>max_sr</t>
  </si>
  <si>
    <t>min_sr</t>
  </si>
  <si>
    <t>mu</t>
  </si>
  <si>
    <t>n1_A</t>
  </si>
  <si>
    <t>n1_B</t>
  </si>
  <si>
    <t>n1_C</t>
  </si>
  <si>
    <t>n1_K</t>
  </si>
  <si>
    <t>n1_Q</t>
  </si>
  <si>
    <t>n1_nu</t>
  </si>
  <si>
    <t>p_iup</t>
  </si>
  <si>
    <t>pi_min</t>
  </si>
  <si>
    <t>q_1</t>
  </si>
  <si>
    <t>q_2</t>
  </si>
  <si>
    <t>q_3</t>
  </si>
  <si>
    <t>q_4</t>
  </si>
  <si>
    <t>r0</t>
  </si>
  <si>
    <t>r_init</t>
  </si>
  <si>
    <t>s046</t>
  </si>
  <si>
    <t>s055</t>
  </si>
  <si>
    <t>s_0</t>
  </si>
  <si>
    <t>s_c</t>
  </si>
  <si>
    <t>s_init</t>
  </si>
  <si>
    <t>stim_amplitude</t>
  </si>
  <si>
    <t>stim_duration</t>
  </si>
  <si>
    <t>stim_period</t>
  </si>
  <si>
    <t>stim_start</t>
  </si>
  <si>
    <t>v_1</t>
  </si>
  <si>
    <t>v_init</t>
  </si>
  <si>
    <t>v_max</t>
  </si>
  <si>
    <t>w_init</t>
  </si>
  <si>
    <t>x_st</t>
  </si>
  <si>
    <t>Vc/Vss</t>
  </si>
  <si>
    <t>stim_period1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</si>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</sst>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name val="Verdana"/>
      <family val="2"/>
      <charset val="204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/>
    <xf numFmtId="49" fontId="0" fillId="0" borderId="0" xfId="0" applyNumberFormat="1" applyBorder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topLeftCell="A7" workbookViewId="0">
      <selection activeCell="A20" sqref="A20"/>
    </sheetView>
  </sheetViews>
  <sheetFormatPr defaultRowHeight="15" x14ac:dyDescent="0.25"/>
  <cols>
    <col min="1" max="1" width="23.5703125" customWidth="1"/>
    <col min="4" max="4" width="11" bestFit="1" customWidth="1"/>
    <col min="5" max="5" width="10.28515625" bestFit="1" customWidth="1"/>
    <col min="6" max="6" width="10.28515625" customWidth="1"/>
    <col min="7" max="7" width="15.140625" customWidth="1"/>
    <col min="8" max="8" width="15.7109375" customWidth="1"/>
    <col min="9" max="9" width="10.28515625" customWidth="1"/>
    <col min="10" max="10" width="15.140625" customWidth="1"/>
    <col min="11" max="11" width="15.5703125" customWidth="1"/>
  </cols>
  <sheetData>
    <row r="1" spans="1:14" ht="15.75" x14ac:dyDescent="0.25">
      <c r="A1" t="s">
        <v>0</v>
      </c>
      <c r="B1">
        <v>310</v>
      </c>
      <c r="D1" t="s">
        <v>272</v>
      </c>
      <c r="E1" s="2" t="e">
        <f>D1-B1</f>
        <v>#VALUE!</v>
      </c>
      <c r="F1" s="2"/>
      <c r="G1" s="3" t="s">
        <v>124</v>
      </c>
      <c r="H1">
        <v>6.8</v>
      </c>
      <c r="J1" s="3"/>
    </row>
    <row r="2" spans="1:14" ht="15.75" x14ac:dyDescent="0.25">
      <c r="A2" t="s">
        <v>1</v>
      </c>
      <c r="B2">
        <v>1.6403999999999998E-2</v>
      </c>
      <c r="D2">
        <f>H46</f>
        <v>1.6403999999999998E-2</v>
      </c>
      <c r="E2" s="2">
        <f t="shared" ref="E2:E65" si="0">D2-B2</f>
        <v>0</v>
      </c>
      <c r="F2" s="2"/>
      <c r="G2" s="3" t="s">
        <v>125</v>
      </c>
      <c r="H2">
        <v>8.6169541344149956E-4</v>
      </c>
      <c r="J2" s="3"/>
      <c r="M2" t="s">
        <v>270</v>
      </c>
      <c r="N2" s="1">
        <f>B2/B4</f>
        <v>299.890310786106</v>
      </c>
    </row>
    <row r="3" spans="1:14" ht="15.75" x14ac:dyDescent="0.25">
      <c r="A3" t="s">
        <v>2</v>
      </c>
      <c r="B3">
        <v>1.0064799999999999E-3</v>
      </c>
      <c r="D3">
        <f>H50</f>
        <v>1.0064799999999999E-3</v>
      </c>
      <c r="E3" s="2">
        <f t="shared" si="0"/>
        <v>0</v>
      </c>
      <c r="F3" s="2"/>
      <c r="G3" s="3" t="s">
        <v>126</v>
      </c>
      <c r="H3">
        <v>7.0000000000000007E-2</v>
      </c>
      <c r="J3" s="3"/>
    </row>
    <row r="4" spans="1:14" ht="15.75" x14ac:dyDescent="0.25">
      <c r="A4" t="s">
        <v>3</v>
      </c>
      <c r="B4" s="1">
        <v>5.4700000000000001E-5</v>
      </c>
      <c r="D4">
        <f>H53</f>
        <v>5.4700000000000001E-5</v>
      </c>
      <c r="E4" s="2">
        <f t="shared" si="0"/>
        <v>0</v>
      </c>
      <c r="F4" s="2"/>
      <c r="G4" s="3" t="s">
        <v>127</v>
      </c>
      <c r="H4">
        <v>0.11</v>
      </c>
      <c r="J4" s="3"/>
      <c r="M4" s="1"/>
    </row>
    <row r="5" spans="1:14" ht="15.75" x14ac:dyDescent="0.25">
      <c r="A5" t="s">
        <v>4</v>
      </c>
      <c r="B5">
        <v>2</v>
      </c>
      <c r="D5">
        <f>H13</f>
        <v>2</v>
      </c>
      <c r="E5" s="2">
        <f t="shared" si="0"/>
        <v>0</v>
      </c>
      <c r="F5" s="2"/>
      <c r="G5" s="3" t="s">
        <v>128</v>
      </c>
      <c r="H5">
        <v>10</v>
      </c>
      <c r="J5" s="3"/>
    </row>
    <row r="6" spans="1:14" ht="15.75" x14ac:dyDescent="0.25">
      <c r="A6" t="s">
        <v>5</v>
      </c>
      <c r="B6">
        <v>140</v>
      </c>
      <c r="D6">
        <f>H38</f>
        <v>140</v>
      </c>
      <c r="E6" s="2">
        <f t="shared" si="0"/>
        <v>0</v>
      </c>
      <c r="F6" s="2"/>
      <c r="G6" s="3" t="s">
        <v>129</v>
      </c>
      <c r="H6">
        <v>10</v>
      </c>
      <c r="J6" s="3"/>
    </row>
    <row r="7" spans="1:14" ht="15.75" x14ac:dyDescent="0.25">
      <c r="A7" t="s">
        <v>6</v>
      </c>
      <c r="B7">
        <v>5.4</v>
      </c>
      <c r="D7">
        <f>H29</f>
        <v>5.4</v>
      </c>
      <c r="E7" s="2">
        <f t="shared" si="0"/>
        <v>0</v>
      </c>
      <c r="F7" s="2"/>
      <c r="G7" s="3" t="s">
        <v>130</v>
      </c>
      <c r="H7">
        <v>0.4</v>
      </c>
      <c r="J7" s="3"/>
    </row>
    <row r="8" spans="1:14" ht="15.75" x14ac:dyDescent="0.25">
      <c r="A8" t="s">
        <v>7</v>
      </c>
      <c r="B8">
        <v>0.185</v>
      </c>
      <c r="D8">
        <f>H15</f>
        <v>0.185</v>
      </c>
      <c r="E8" s="2">
        <f t="shared" si="0"/>
        <v>0</v>
      </c>
      <c r="F8" s="2"/>
      <c r="G8" s="3" t="s">
        <v>131</v>
      </c>
      <c r="H8">
        <v>0.3367819333989483</v>
      </c>
      <c r="J8" s="3"/>
    </row>
    <row r="9" spans="1:14" ht="15.75" x14ac:dyDescent="0.25">
      <c r="A9" t="s">
        <v>8</v>
      </c>
      <c r="B9" s="1">
        <v>8.7520000000000002E-5</v>
      </c>
      <c r="D9">
        <f>H48</f>
        <v>8.7520000000000002E-5</v>
      </c>
      <c r="E9" s="2">
        <f t="shared" si="0"/>
        <v>0</v>
      </c>
      <c r="F9" s="2"/>
      <c r="G9" s="3" t="s">
        <v>132</v>
      </c>
      <c r="H9">
        <v>0.92821867000000002</v>
      </c>
      <c r="J9" s="3"/>
    </row>
    <row r="10" spans="1:14" ht="15.75" x14ac:dyDescent="0.25">
      <c r="A10" t="s">
        <v>9</v>
      </c>
      <c r="B10">
        <v>2.1</v>
      </c>
      <c r="D10">
        <f>H109</f>
        <v>2.1</v>
      </c>
      <c r="E10" s="2">
        <f t="shared" si="0"/>
        <v>0</v>
      </c>
      <c r="F10" s="2"/>
      <c r="G10" s="3" t="s">
        <v>133</v>
      </c>
      <c r="H10">
        <v>5.8940008428783755E-5</v>
      </c>
      <c r="J10" s="3"/>
    </row>
    <row r="11" spans="1:14" ht="15.75" x14ac:dyDescent="0.25">
      <c r="A11" t="s">
        <v>10</v>
      </c>
      <c r="B11">
        <v>2.5000000000000001E-2</v>
      </c>
      <c r="D11">
        <f>H106</f>
        <v>2.5000000000000001E-2</v>
      </c>
      <c r="E11" s="2">
        <f t="shared" si="0"/>
        <v>0</v>
      </c>
      <c r="F11" s="2"/>
      <c r="G11" s="3" t="s">
        <v>134</v>
      </c>
      <c r="H11">
        <v>1.7453454874619947</v>
      </c>
      <c r="J11" s="3"/>
    </row>
    <row r="12" spans="1:14" ht="15.75" x14ac:dyDescent="0.25">
      <c r="A12" t="s">
        <v>11</v>
      </c>
      <c r="B12">
        <v>0.06</v>
      </c>
      <c r="D12">
        <f>H110</f>
        <v>0.06</v>
      </c>
      <c r="E12" s="2">
        <f t="shared" si="0"/>
        <v>0</v>
      </c>
      <c r="F12" s="2"/>
      <c r="G12" s="3" t="s">
        <v>135</v>
      </c>
      <c r="H12">
        <v>1.7503079108504958</v>
      </c>
      <c r="J12" s="3"/>
    </row>
    <row r="13" spans="1:14" ht="15.75" x14ac:dyDescent="0.25">
      <c r="A13" t="s">
        <v>12</v>
      </c>
      <c r="B13">
        <v>5.0000000000000001E-3</v>
      </c>
      <c r="D13">
        <f>H107</f>
        <v>5.0000000000000001E-3</v>
      </c>
      <c r="E13" s="2">
        <f t="shared" si="0"/>
        <v>0</v>
      </c>
      <c r="F13" s="2"/>
      <c r="G13" s="3" t="s">
        <v>136</v>
      </c>
      <c r="H13">
        <v>2</v>
      </c>
      <c r="J13" s="3"/>
    </row>
    <row r="14" spans="1:14" ht="15.75" x14ac:dyDescent="0.25">
      <c r="A14" t="s">
        <v>13</v>
      </c>
      <c r="B14">
        <v>2.5000000000000001E-4</v>
      </c>
      <c r="D14">
        <f>H32</f>
        <v>2.5000000000000001E-4</v>
      </c>
      <c r="E14" s="2">
        <f t="shared" si="0"/>
        <v>0</v>
      </c>
      <c r="F14" s="2"/>
      <c r="G14" s="3" t="s">
        <v>137</v>
      </c>
      <c r="H14">
        <v>2.0190962614101676E-4</v>
      </c>
      <c r="J14" s="3"/>
    </row>
    <row r="15" spans="1:14" ht="15.75" x14ac:dyDescent="0.25">
      <c r="A15" t="s">
        <v>14</v>
      </c>
      <c r="B15">
        <v>2.5</v>
      </c>
      <c r="D15">
        <f>H119</f>
        <v>2.5</v>
      </c>
      <c r="E15" s="2">
        <f t="shared" si="0"/>
        <v>0</v>
      </c>
      <c r="F15" s="2"/>
      <c r="G15" s="3" t="s">
        <v>138</v>
      </c>
      <c r="H15">
        <v>0.185</v>
      </c>
      <c r="J15" s="3"/>
    </row>
    <row r="16" spans="1:14" ht="15.75" x14ac:dyDescent="0.25">
      <c r="A16" t="s">
        <v>15</v>
      </c>
      <c r="B16">
        <v>1</v>
      </c>
      <c r="D16">
        <f>H120</f>
        <v>1</v>
      </c>
      <c r="E16" s="2">
        <f t="shared" si="0"/>
        <v>0</v>
      </c>
      <c r="F16" s="2"/>
      <c r="G16" s="3" t="s">
        <v>121</v>
      </c>
      <c r="H16">
        <v>1.5</v>
      </c>
      <c r="J16" s="3"/>
    </row>
    <row r="17" spans="1:10" ht="15.75" x14ac:dyDescent="0.25">
      <c r="A17" t="s">
        <v>16</v>
      </c>
      <c r="B17">
        <v>1.5</v>
      </c>
      <c r="D17">
        <f>H16</f>
        <v>1.5</v>
      </c>
      <c r="E17" s="2">
        <f t="shared" si="0"/>
        <v>0</v>
      </c>
      <c r="F17" s="2"/>
      <c r="G17" s="3" t="s">
        <v>139</v>
      </c>
      <c r="H17">
        <v>96485.341499999995</v>
      </c>
      <c r="J17" s="3"/>
    </row>
    <row r="18" spans="1:10" ht="15.75" x14ac:dyDescent="0.25">
      <c r="A18" t="s">
        <v>17</v>
      </c>
      <c r="B18">
        <v>3.6000000000000002E-4</v>
      </c>
      <c r="D18">
        <f>H49</f>
        <v>3.6000000000000002E-4</v>
      </c>
      <c r="E18" s="2">
        <f t="shared" si="0"/>
        <v>0</v>
      </c>
      <c r="F18" s="2"/>
      <c r="G18" s="3" t="s">
        <v>140</v>
      </c>
      <c r="H18">
        <v>0</v>
      </c>
      <c r="J18" s="3"/>
    </row>
    <row r="19" spans="1:10" ht="15.75" x14ac:dyDescent="0.25">
      <c r="A19" t="s">
        <v>18</v>
      </c>
      <c r="B19" s="6">
        <v>0.148732</v>
      </c>
      <c r="C19" s="6"/>
      <c r="D19" s="6">
        <f>H51</f>
        <v>2.5</v>
      </c>
      <c r="E19" s="2">
        <f t="shared" si="0"/>
        <v>2.3512680000000001</v>
      </c>
      <c r="F19" s="2"/>
      <c r="G19" s="3" t="s">
        <v>141</v>
      </c>
      <c r="H19">
        <v>8.5926441269735957E-9</v>
      </c>
      <c r="J19" s="3"/>
    </row>
    <row r="20" spans="1:10" ht="15.75" x14ac:dyDescent="0.25">
      <c r="A20" t="s">
        <v>19</v>
      </c>
      <c r="B20">
        <v>4.5599999999999998E-3</v>
      </c>
      <c r="D20">
        <f>H54</f>
        <v>4.5599999999999998E-3</v>
      </c>
      <c r="E20" s="2">
        <f t="shared" si="0"/>
        <v>0</v>
      </c>
      <c r="F20" s="2"/>
      <c r="G20" s="3" t="s">
        <v>142</v>
      </c>
      <c r="H20">
        <v>5000</v>
      </c>
      <c r="J20" s="3"/>
    </row>
    <row r="21" spans="1:10" ht="15.75" x14ac:dyDescent="0.25">
      <c r="A21" t="s">
        <v>20</v>
      </c>
      <c r="B21" s="6">
        <v>2.5409999999999999E-3</v>
      </c>
      <c r="C21" s="6"/>
      <c r="D21" s="6">
        <f>H55</f>
        <v>5.8E-4</v>
      </c>
      <c r="E21" s="2">
        <f t="shared" si="0"/>
        <v>-1.9610000000000001E-3</v>
      </c>
      <c r="F21" s="2"/>
      <c r="G21" s="3" t="s">
        <v>143</v>
      </c>
      <c r="H21">
        <v>8.4999999999999995E-4</v>
      </c>
      <c r="J21" s="3"/>
    </row>
    <row r="22" spans="1:10" ht="15.75" x14ac:dyDescent="0.25">
      <c r="A22" t="s">
        <v>21</v>
      </c>
      <c r="B22" s="6">
        <v>0.13</v>
      </c>
      <c r="C22" s="6"/>
      <c r="D22" s="6">
        <f>H4</f>
        <v>0.11</v>
      </c>
      <c r="E22" s="2">
        <f t="shared" si="0"/>
        <v>-2.0000000000000004E-2</v>
      </c>
      <c r="F22" s="2"/>
      <c r="G22" s="3" t="s">
        <v>144</v>
      </c>
      <c r="H22">
        <v>0.3</v>
      </c>
      <c r="J22" s="3"/>
    </row>
    <row r="23" spans="1:10" ht="15.75" x14ac:dyDescent="0.25">
      <c r="A23" t="s">
        <v>22</v>
      </c>
      <c r="B23">
        <v>10</v>
      </c>
      <c r="D23">
        <f>H5</f>
        <v>10</v>
      </c>
      <c r="E23" s="2">
        <f t="shared" si="0"/>
        <v>0</v>
      </c>
      <c r="F23" s="2"/>
      <c r="G23" s="3" t="s">
        <v>145</v>
      </c>
      <c r="H23">
        <v>0.3</v>
      </c>
      <c r="J23" s="3"/>
    </row>
    <row r="24" spans="1:10" ht="15.75" x14ac:dyDescent="0.25">
      <c r="A24" t="s">
        <v>23</v>
      </c>
      <c r="B24">
        <v>0.4</v>
      </c>
      <c r="D24">
        <f>H7</f>
        <v>0.4</v>
      </c>
      <c r="E24" s="2">
        <f t="shared" si="0"/>
        <v>0</v>
      </c>
      <c r="F24" s="2"/>
      <c r="G24" s="3" t="s">
        <v>146</v>
      </c>
      <c r="H24">
        <v>2.5000000000000001E-4</v>
      </c>
      <c r="J24" s="3"/>
    </row>
    <row r="25" spans="1:10" ht="15.75" x14ac:dyDescent="0.25">
      <c r="A25" t="s">
        <v>24</v>
      </c>
      <c r="B25">
        <v>8.4999999999999995E-4</v>
      </c>
      <c r="D25">
        <f>H21</f>
        <v>8.4999999999999995E-4</v>
      </c>
      <c r="E25" s="2">
        <f t="shared" si="0"/>
        <v>0</v>
      </c>
      <c r="F25" s="2"/>
      <c r="G25" s="3" t="s">
        <v>147</v>
      </c>
      <c r="H25">
        <v>134.59266708247216</v>
      </c>
      <c r="J25" s="3"/>
    </row>
    <row r="26" spans="1:10" ht="15.75" x14ac:dyDescent="0.25">
      <c r="A26" t="s">
        <v>25</v>
      </c>
      <c r="B26" s="6">
        <v>0.8</v>
      </c>
      <c r="C26" s="6"/>
      <c r="D26" s="6">
        <f>H22</f>
        <v>0.3</v>
      </c>
      <c r="E26" s="2">
        <f t="shared" si="0"/>
        <v>-0.5</v>
      </c>
      <c r="F26" s="2"/>
      <c r="G26" s="3" t="s">
        <v>148</v>
      </c>
      <c r="H26">
        <v>3.2499999999999999E-4</v>
      </c>
      <c r="J26" s="3"/>
    </row>
    <row r="27" spans="1:10" ht="15.75" x14ac:dyDescent="0.25">
      <c r="A27" t="s">
        <v>26</v>
      </c>
      <c r="B27">
        <v>2.5000000000000001E-4</v>
      </c>
      <c r="D27">
        <f>H24</f>
        <v>2.5000000000000001E-4</v>
      </c>
      <c r="E27" s="2">
        <f t="shared" si="0"/>
        <v>0</v>
      </c>
      <c r="F27" s="2"/>
      <c r="G27" s="3" t="s">
        <v>149</v>
      </c>
      <c r="H27">
        <v>40</v>
      </c>
      <c r="J27" s="3"/>
    </row>
    <row r="28" spans="1:10" ht="15.75" x14ac:dyDescent="0.25">
      <c r="A28" t="s">
        <v>27</v>
      </c>
      <c r="B28">
        <v>7.0000000000000007E-2</v>
      </c>
      <c r="D28">
        <f>H3</f>
        <v>7.0000000000000007E-2</v>
      </c>
      <c r="E28" s="2">
        <f t="shared" si="0"/>
        <v>0</v>
      </c>
      <c r="F28" s="2"/>
      <c r="G28" s="3" t="s">
        <v>150</v>
      </c>
      <c r="H28">
        <v>1</v>
      </c>
      <c r="J28" s="3"/>
    </row>
    <row r="29" spans="1:10" ht="15.75" x14ac:dyDescent="0.25">
      <c r="A29" t="s">
        <v>28</v>
      </c>
      <c r="B29">
        <v>35</v>
      </c>
      <c r="D29">
        <f>H61</f>
        <v>36</v>
      </c>
      <c r="E29" s="2">
        <f t="shared" si="0"/>
        <v>1</v>
      </c>
      <c r="F29" s="2"/>
      <c r="G29" s="3" t="s">
        <v>151</v>
      </c>
      <c r="H29">
        <v>5.4</v>
      </c>
      <c r="J29" s="3"/>
    </row>
    <row r="30" spans="1:10" ht="15.75" x14ac:dyDescent="0.25">
      <c r="A30" t="s">
        <v>29</v>
      </c>
      <c r="B30" s="6">
        <v>0.17</v>
      </c>
      <c r="C30" s="6"/>
      <c r="D30" s="6">
        <f>H60</f>
        <v>0.19</v>
      </c>
      <c r="E30" s="2">
        <f t="shared" si="0"/>
        <v>1.999999999999999E-2</v>
      </c>
      <c r="F30" s="2"/>
      <c r="G30" s="3" t="s">
        <v>152</v>
      </c>
      <c r="H30">
        <v>5.0000000000000001E-4</v>
      </c>
      <c r="J30" s="3"/>
    </row>
    <row r="31" spans="1:10" ht="15.75" x14ac:dyDescent="0.25">
      <c r="A31" t="s">
        <v>30</v>
      </c>
      <c r="B31">
        <v>28</v>
      </c>
      <c r="D31">
        <f>H105</f>
        <v>28</v>
      </c>
      <c r="E31" s="2">
        <f t="shared" si="0"/>
        <v>0</v>
      </c>
      <c r="F31" s="2"/>
      <c r="G31" s="3" t="s">
        <v>153</v>
      </c>
      <c r="H31">
        <v>0.1</v>
      </c>
      <c r="J31" s="3"/>
    </row>
    <row r="32" spans="1:10" ht="15.75" x14ac:dyDescent="0.25">
      <c r="A32" t="s">
        <v>31</v>
      </c>
      <c r="B32">
        <v>10</v>
      </c>
      <c r="D32" s="4">
        <f>10</f>
        <v>10</v>
      </c>
      <c r="E32" s="2">
        <f t="shared" si="0"/>
        <v>0</v>
      </c>
      <c r="F32" s="2"/>
      <c r="G32" s="3" t="s">
        <v>154</v>
      </c>
      <c r="H32">
        <v>2.5000000000000001E-4</v>
      </c>
      <c r="J32" s="3"/>
    </row>
    <row r="33" spans="1:10" ht="15.75" x14ac:dyDescent="0.25">
      <c r="A33" t="s">
        <v>32</v>
      </c>
      <c r="B33">
        <v>1</v>
      </c>
      <c r="D33" s="4">
        <v>1</v>
      </c>
      <c r="E33" s="2">
        <f t="shared" si="0"/>
        <v>0</v>
      </c>
      <c r="F33" s="2"/>
      <c r="G33" s="3" t="s">
        <v>155</v>
      </c>
      <c r="H33">
        <v>9.7600000000000006E-2</v>
      </c>
      <c r="J33" s="3"/>
    </row>
    <row r="34" spans="1:10" ht="15.75" x14ac:dyDescent="0.25">
      <c r="A34" t="s">
        <v>33</v>
      </c>
      <c r="B34">
        <v>60</v>
      </c>
      <c r="D34" s="4">
        <v>60</v>
      </c>
      <c r="E34" s="2">
        <f t="shared" si="0"/>
        <v>0</v>
      </c>
      <c r="F34" s="2"/>
      <c r="G34" s="3" t="s">
        <v>156</v>
      </c>
      <c r="H34">
        <v>1.38</v>
      </c>
      <c r="J34" s="3"/>
    </row>
    <row r="35" spans="1:10" ht="15.75" x14ac:dyDescent="0.25">
      <c r="A35" t="s">
        <v>34</v>
      </c>
      <c r="B35">
        <v>14.6</v>
      </c>
      <c r="D35">
        <f>H63</f>
        <v>14.6</v>
      </c>
      <c r="E35" s="2">
        <f t="shared" si="0"/>
        <v>0</v>
      </c>
      <c r="F35" s="2"/>
      <c r="G35" s="3" t="s">
        <v>157</v>
      </c>
      <c r="H35">
        <v>87.5</v>
      </c>
      <c r="J35" s="3"/>
    </row>
    <row r="36" spans="1:10" ht="15.75" x14ac:dyDescent="0.25">
      <c r="A36" t="s">
        <v>35</v>
      </c>
      <c r="B36">
        <v>4.2</v>
      </c>
      <c r="D36">
        <f>H73</f>
        <v>4.2</v>
      </c>
      <c r="E36" s="2">
        <f t="shared" si="0"/>
        <v>0</v>
      </c>
      <c r="F36" s="2"/>
      <c r="G36" s="3" t="s">
        <v>158</v>
      </c>
      <c r="H36">
        <v>3.1404702853856905E-6</v>
      </c>
      <c r="J36" s="3"/>
    </row>
    <row r="37" spans="1:10" ht="15.75" x14ac:dyDescent="0.25">
      <c r="A37" t="s">
        <v>36</v>
      </c>
      <c r="B37">
        <v>14.6</v>
      </c>
      <c r="D37">
        <f>H64</f>
        <v>14.6</v>
      </c>
      <c r="E37" s="2">
        <f t="shared" si="0"/>
        <v>0</v>
      </c>
      <c r="F37" s="2"/>
      <c r="G37" s="3" t="s">
        <v>159</v>
      </c>
      <c r="H37">
        <v>11.308777972699209</v>
      </c>
      <c r="J37" s="3"/>
    </row>
    <row r="38" spans="1:10" ht="15.75" x14ac:dyDescent="0.25">
      <c r="A38" t="s">
        <v>37</v>
      </c>
      <c r="B38">
        <v>8.9999999999999993E-3</v>
      </c>
      <c r="D38">
        <f>H74</f>
        <v>8.9999999999999993E-3</v>
      </c>
      <c r="E38" s="2">
        <f t="shared" si="0"/>
        <v>0</v>
      </c>
      <c r="F38" s="2"/>
      <c r="G38" s="3" t="s">
        <v>160</v>
      </c>
      <c r="H38">
        <v>140</v>
      </c>
      <c r="J38" s="3"/>
    </row>
    <row r="39" spans="1:10" ht="15.75" x14ac:dyDescent="0.25">
      <c r="A39" t="s">
        <v>38</v>
      </c>
      <c r="B39" s="6">
        <v>250</v>
      </c>
      <c r="C39" s="6"/>
      <c r="D39" s="6">
        <f>H116</f>
        <v>450</v>
      </c>
      <c r="E39" s="2">
        <f t="shared" si="0"/>
        <v>200</v>
      </c>
      <c r="F39" s="2"/>
      <c r="G39" s="3" t="s">
        <v>161</v>
      </c>
      <c r="H39">
        <v>8.9627826041392342E-7</v>
      </c>
      <c r="J39" s="3"/>
    </row>
    <row r="40" spans="1:10" ht="15.75" x14ac:dyDescent="0.25">
      <c r="A40" t="s">
        <v>39</v>
      </c>
      <c r="B40">
        <v>1.7299999999999999E-2</v>
      </c>
      <c r="D40">
        <f>H130</f>
        <v>1.7299999999999999E-2</v>
      </c>
      <c r="E40" s="2">
        <f t="shared" si="0"/>
        <v>0</v>
      </c>
      <c r="F40" s="2"/>
      <c r="G40" s="3" t="s">
        <v>162</v>
      </c>
      <c r="H40">
        <v>2.7240000000000002</v>
      </c>
      <c r="J40" s="3"/>
    </row>
    <row r="41" spans="1:10" ht="15.75" x14ac:dyDescent="0.25">
      <c r="A41" t="s">
        <v>40</v>
      </c>
      <c r="B41">
        <v>0.25900000000000001</v>
      </c>
      <c r="D41">
        <f t="shared" ref="D41:D43" si="1">H131</f>
        <v>0.25900000000000001</v>
      </c>
      <c r="E41" s="2">
        <f t="shared" si="0"/>
        <v>0</v>
      </c>
      <c r="F41" s="2"/>
      <c r="G41" s="3" t="s">
        <v>163</v>
      </c>
      <c r="H41">
        <v>0.03</v>
      </c>
      <c r="J41" s="3"/>
    </row>
    <row r="42" spans="1:10" ht="15.75" x14ac:dyDescent="0.25">
      <c r="A42" t="s">
        <v>41</v>
      </c>
      <c r="B42">
        <v>1.7299999999999999E-2</v>
      </c>
      <c r="D42">
        <f t="shared" si="1"/>
        <v>1.7299999999999999E-2</v>
      </c>
      <c r="E42" s="2">
        <f t="shared" si="0"/>
        <v>0</v>
      </c>
      <c r="F42" s="2"/>
      <c r="G42" s="3" t="s">
        <v>164</v>
      </c>
      <c r="H42">
        <v>8314.4719999999998</v>
      </c>
      <c r="J42" s="3"/>
    </row>
    <row r="43" spans="1:10" ht="15.75" x14ac:dyDescent="0.25">
      <c r="A43" t="s">
        <v>42</v>
      </c>
      <c r="B43">
        <v>1.4999999999999999E-2</v>
      </c>
      <c r="D43">
        <f t="shared" si="1"/>
        <v>1.4999999999999999E-2</v>
      </c>
      <c r="E43" s="2">
        <f t="shared" si="0"/>
        <v>0</v>
      </c>
      <c r="F43" s="2"/>
      <c r="G43" s="3" t="s">
        <v>165</v>
      </c>
      <c r="H43">
        <v>9.4959803551813646E-3</v>
      </c>
      <c r="J43" s="3"/>
    </row>
    <row r="44" spans="1:10" ht="15.75" x14ac:dyDescent="0.25">
      <c r="A44" t="s">
        <v>43</v>
      </c>
      <c r="B44">
        <v>5.4999999999999997E-3</v>
      </c>
      <c r="D44">
        <f>H148</f>
        <v>5.4999999999999997E-3</v>
      </c>
      <c r="E44" s="2">
        <f t="shared" si="0"/>
        <v>0</v>
      </c>
      <c r="F44" s="2"/>
      <c r="G44" s="3" t="s">
        <v>166</v>
      </c>
      <c r="H44">
        <v>0.99050311426442428</v>
      </c>
      <c r="J44" s="3"/>
    </row>
    <row r="45" spans="1:10" ht="15.75" x14ac:dyDescent="0.25">
      <c r="A45" t="s">
        <v>44</v>
      </c>
      <c r="B45">
        <v>0.25</v>
      </c>
      <c r="D45">
        <f>H59</f>
        <v>0.25</v>
      </c>
      <c r="E45" s="2">
        <f t="shared" si="0"/>
        <v>0</v>
      </c>
      <c r="F45" s="2"/>
      <c r="G45" s="3" t="s">
        <v>167</v>
      </c>
      <c r="H45">
        <v>310</v>
      </c>
      <c r="J45" s="3"/>
    </row>
    <row r="46" spans="1:10" ht="15.75" x14ac:dyDescent="0.25">
      <c r="A46" t="s">
        <v>45</v>
      </c>
      <c r="B46">
        <v>10</v>
      </c>
      <c r="D46">
        <f>H68</f>
        <v>10</v>
      </c>
      <c r="E46" s="2">
        <f t="shared" si="0"/>
        <v>0</v>
      </c>
      <c r="F46" s="2"/>
      <c r="G46" s="3" t="s">
        <v>168</v>
      </c>
      <c r="H46">
        <v>1.6403999999999998E-2</v>
      </c>
      <c r="J46" s="3"/>
    </row>
    <row r="47" spans="1:10" ht="15.75" x14ac:dyDescent="0.25">
      <c r="A47" t="s">
        <v>46</v>
      </c>
      <c r="B47">
        <v>5</v>
      </c>
      <c r="D47">
        <f>H76</f>
        <v>5</v>
      </c>
      <c r="E47" s="2">
        <f t="shared" si="0"/>
        <v>0</v>
      </c>
      <c r="F47" s="2"/>
      <c r="G47" s="3" t="s">
        <v>169</v>
      </c>
      <c r="H47">
        <v>-85.914325357559377</v>
      </c>
      <c r="J47" s="3"/>
    </row>
    <row r="48" spans="1:10" ht="15.75" x14ac:dyDescent="0.25">
      <c r="A48" t="s">
        <v>47</v>
      </c>
      <c r="B48">
        <v>0.96428499999999995</v>
      </c>
      <c r="D48">
        <f>H150</f>
        <v>0.96428499999999995</v>
      </c>
      <c r="E48" s="2">
        <f t="shared" si="0"/>
        <v>0</v>
      </c>
      <c r="F48" s="2"/>
      <c r="G48" s="3" t="s">
        <v>170</v>
      </c>
      <c r="H48">
        <v>8.7520000000000002E-5</v>
      </c>
      <c r="J48" s="3"/>
    </row>
    <row r="49" spans="1:10" ht="15.75" x14ac:dyDescent="0.25">
      <c r="A49" t="s">
        <v>48</v>
      </c>
      <c r="B49">
        <v>1</v>
      </c>
      <c r="D49">
        <f>H66</f>
        <v>1</v>
      </c>
      <c r="E49" s="2">
        <f t="shared" si="0"/>
        <v>0</v>
      </c>
      <c r="F49" s="2"/>
      <c r="G49" s="3" t="s">
        <v>171</v>
      </c>
      <c r="H49">
        <v>3.6000000000000002E-4</v>
      </c>
      <c r="J49" s="3"/>
    </row>
    <row r="50" spans="1:10" ht="15.75" x14ac:dyDescent="0.25">
      <c r="A50" t="s">
        <v>49</v>
      </c>
      <c r="B50">
        <v>0.9</v>
      </c>
      <c r="D50">
        <f>H117</f>
        <v>0.9</v>
      </c>
      <c r="E50" s="2">
        <f t="shared" si="0"/>
        <v>0</v>
      </c>
      <c r="F50" s="2"/>
      <c r="G50" s="3" t="s">
        <v>172</v>
      </c>
      <c r="H50">
        <v>1.0064799999999999E-3</v>
      </c>
      <c r="J50" s="3"/>
    </row>
    <row r="51" spans="1:10" ht="15.75" x14ac:dyDescent="0.25">
      <c r="A51" t="s">
        <v>50</v>
      </c>
      <c r="B51">
        <v>0.6</v>
      </c>
      <c r="D51">
        <f>H89</f>
        <v>0.6</v>
      </c>
      <c r="E51" s="2">
        <f t="shared" si="0"/>
        <v>0</v>
      </c>
      <c r="F51" s="2"/>
      <c r="G51" s="3" t="s">
        <v>173</v>
      </c>
      <c r="H51">
        <v>2.5</v>
      </c>
      <c r="J51" s="3"/>
    </row>
    <row r="52" spans="1:10" ht="15.75" x14ac:dyDescent="0.25">
      <c r="A52" t="s">
        <v>51</v>
      </c>
      <c r="B52">
        <v>0.52</v>
      </c>
      <c r="D52">
        <f>H90</f>
        <v>0.52</v>
      </c>
      <c r="E52" s="2">
        <f t="shared" si="0"/>
        <v>0</v>
      </c>
      <c r="F52" s="2"/>
      <c r="G52" s="3" t="s">
        <v>174</v>
      </c>
      <c r="H52">
        <v>1.0939999999999999E-3</v>
      </c>
      <c r="J52" s="3"/>
    </row>
    <row r="53" spans="1:10" ht="15.75" x14ac:dyDescent="0.25">
      <c r="A53" t="s">
        <v>52</v>
      </c>
      <c r="B53">
        <v>1.1399999999999999</v>
      </c>
      <c r="D53">
        <f>H138</f>
        <v>1.1399999999999999</v>
      </c>
      <c r="E53" s="2">
        <f t="shared" si="0"/>
        <v>0</v>
      </c>
      <c r="F53" s="2"/>
      <c r="G53" s="3" t="s">
        <v>175</v>
      </c>
      <c r="H53">
        <v>5.4700000000000001E-5</v>
      </c>
      <c r="J53" s="3"/>
    </row>
    <row r="54" spans="1:10" ht="15.75" x14ac:dyDescent="0.25">
      <c r="A54" t="s">
        <v>53</v>
      </c>
      <c r="B54">
        <v>0.55000000000000004</v>
      </c>
      <c r="D54">
        <f>H82</f>
        <v>0.55000000000000004</v>
      </c>
      <c r="E54" s="2">
        <f t="shared" si="0"/>
        <v>0</v>
      </c>
      <c r="F54" s="2"/>
      <c r="G54" s="3" t="s">
        <v>176</v>
      </c>
      <c r="H54">
        <v>4.5599999999999998E-3</v>
      </c>
      <c r="J54" s="3"/>
    </row>
    <row r="55" spans="1:10" ht="15.75" x14ac:dyDescent="0.25">
      <c r="A55" t="s">
        <v>54</v>
      </c>
      <c r="B55">
        <v>0.02</v>
      </c>
      <c r="D55">
        <f>H129</f>
        <v>0.02</v>
      </c>
      <c r="E55" s="2">
        <f t="shared" si="0"/>
        <v>0</v>
      </c>
      <c r="F55" s="2"/>
      <c r="G55" s="3" t="s">
        <v>177</v>
      </c>
      <c r="H55">
        <v>5.8E-4</v>
      </c>
      <c r="J55" s="3"/>
    </row>
    <row r="56" spans="1:10" ht="15.75" x14ac:dyDescent="0.25">
      <c r="A56" t="s">
        <v>55</v>
      </c>
      <c r="B56">
        <v>2.5524890442451702</v>
      </c>
      <c r="D56">
        <f>H134</f>
        <v>2.5524890442451702</v>
      </c>
      <c r="E56" s="2">
        <f t="shared" si="0"/>
        <v>0</v>
      </c>
      <c r="F56" s="2"/>
      <c r="G56" s="3" t="s">
        <v>178</v>
      </c>
      <c r="H56">
        <v>1.938518173019123E-4</v>
      </c>
      <c r="J56" s="3"/>
    </row>
    <row r="57" spans="1:10" ht="15.75" x14ac:dyDescent="0.25">
      <c r="A57" t="s">
        <v>56</v>
      </c>
      <c r="B57">
        <v>0.5</v>
      </c>
      <c r="D57">
        <f>H84</f>
        <v>0.5</v>
      </c>
      <c r="E57" s="2">
        <f t="shared" si="0"/>
        <v>0</v>
      </c>
      <c r="F57" s="2"/>
      <c r="G57" s="3" t="s">
        <v>179</v>
      </c>
      <c r="H57">
        <v>0.47828638812595065</v>
      </c>
      <c r="J57" s="3"/>
    </row>
    <row r="58" spans="1:10" ht="15.75" x14ac:dyDescent="0.25">
      <c r="A58" t="s">
        <v>57</v>
      </c>
      <c r="B58">
        <v>0.1</v>
      </c>
      <c r="D58">
        <v>0.1</v>
      </c>
      <c r="E58" s="2">
        <f t="shared" si="0"/>
        <v>0</v>
      </c>
      <c r="F58" s="2"/>
      <c r="G58" s="3" t="s">
        <v>180</v>
      </c>
      <c r="H58">
        <v>3.1158796018867841E-3</v>
      </c>
      <c r="J58" s="3"/>
    </row>
    <row r="59" spans="1:10" ht="15.75" x14ac:dyDescent="0.25">
      <c r="A59" t="s">
        <v>58</v>
      </c>
      <c r="B59">
        <v>1</v>
      </c>
      <c r="D59" s="4">
        <f>1</f>
        <v>1</v>
      </c>
      <c r="E59" s="2">
        <f t="shared" si="0"/>
        <v>0</v>
      </c>
      <c r="F59" s="2"/>
      <c r="G59" s="3" t="s">
        <v>122</v>
      </c>
      <c r="H59">
        <v>0.25</v>
      </c>
      <c r="J59" s="3"/>
    </row>
    <row r="60" spans="1:10" ht="15.75" x14ac:dyDescent="0.25">
      <c r="A60" t="s">
        <v>59</v>
      </c>
      <c r="B60" s="6">
        <v>1.7</v>
      </c>
      <c r="C60" s="6"/>
      <c r="D60" s="6">
        <f>H117</f>
        <v>0.9</v>
      </c>
      <c r="E60" s="2">
        <f t="shared" si="0"/>
        <v>-0.79999999999999993</v>
      </c>
      <c r="F60" s="2"/>
      <c r="G60" s="3" t="s">
        <v>181</v>
      </c>
      <c r="H60">
        <v>0.19</v>
      </c>
      <c r="J60" s="3"/>
    </row>
    <row r="61" spans="1:10" ht="15.75" x14ac:dyDescent="0.25">
      <c r="A61" t="s">
        <v>60</v>
      </c>
      <c r="B61">
        <v>2.1</v>
      </c>
      <c r="D61">
        <f>H81</f>
        <v>2.1</v>
      </c>
      <c r="E61" s="2">
        <f t="shared" si="0"/>
        <v>0</v>
      </c>
      <c r="F61" s="2"/>
      <c r="G61" s="3" t="s">
        <v>182</v>
      </c>
      <c r="H61">
        <v>36</v>
      </c>
      <c r="J61" s="3"/>
    </row>
    <row r="62" spans="1:10" ht="15.75" x14ac:dyDescent="0.25">
      <c r="A62" t="s">
        <v>61</v>
      </c>
      <c r="B62">
        <v>4</v>
      </c>
      <c r="D62">
        <f>H67</f>
        <v>4</v>
      </c>
      <c r="E62" s="2">
        <f t="shared" si="0"/>
        <v>0</v>
      </c>
      <c r="F62" s="2"/>
      <c r="G62" s="3" t="s">
        <v>183</v>
      </c>
      <c r="H62">
        <v>1</v>
      </c>
      <c r="J62" s="3"/>
    </row>
    <row r="63" spans="1:10" ht="15.75" x14ac:dyDescent="0.25">
      <c r="A63" t="s">
        <v>62</v>
      </c>
      <c r="B63">
        <v>1000</v>
      </c>
      <c r="D63" s="4">
        <f>1000</f>
        <v>1000</v>
      </c>
      <c r="E63" s="2">
        <f t="shared" si="0"/>
        <v>0</v>
      </c>
      <c r="F63" s="2"/>
      <c r="G63" s="3" t="s">
        <v>184</v>
      </c>
      <c r="H63">
        <v>14.6</v>
      </c>
      <c r="J63" s="3"/>
    </row>
    <row r="64" spans="1:10" ht="15.75" x14ac:dyDescent="0.25">
      <c r="A64" t="s">
        <v>63</v>
      </c>
      <c r="B64">
        <v>55</v>
      </c>
      <c r="D64">
        <f>H65</f>
        <v>55</v>
      </c>
      <c r="E64" s="2">
        <f t="shared" si="0"/>
        <v>0</v>
      </c>
      <c r="F64" s="2"/>
      <c r="G64" s="3" t="s">
        <v>185</v>
      </c>
      <c r="H64">
        <v>14.6</v>
      </c>
      <c r="J64" s="3"/>
    </row>
    <row r="65" spans="1:10" ht="15.75" x14ac:dyDescent="0.25">
      <c r="A65" t="s">
        <v>64</v>
      </c>
      <c r="B65">
        <v>0.11</v>
      </c>
      <c r="D65">
        <f>H75</f>
        <v>0.11</v>
      </c>
      <c r="E65" s="2">
        <f t="shared" si="0"/>
        <v>0</v>
      </c>
      <c r="F65" s="2"/>
      <c r="G65" s="3" t="s">
        <v>186</v>
      </c>
      <c r="H65">
        <v>55</v>
      </c>
      <c r="J65" s="3"/>
    </row>
    <row r="66" spans="1:10" ht="15.75" x14ac:dyDescent="0.25">
      <c r="A66" t="s">
        <v>65</v>
      </c>
      <c r="B66">
        <v>30</v>
      </c>
      <c r="D66" s="4">
        <v>30</v>
      </c>
      <c r="E66" s="2">
        <f t="shared" ref="E66:E121" si="2">D66-B66</f>
        <v>0</v>
      </c>
      <c r="F66" s="2"/>
      <c r="G66" s="3" t="s">
        <v>187</v>
      </c>
      <c r="H66">
        <v>1</v>
      </c>
      <c r="J66" s="3"/>
    </row>
    <row r="67" spans="1:10" ht="15.75" x14ac:dyDescent="0.25">
      <c r="A67" t="s">
        <v>66</v>
      </c>
      <c r="B67">
        <v>0</v>
      </c>
      <c r="D67" s="4">
        <v>0</v>
      </c>
      <c r="E67" s="2">
        <f t="shared" si="2"/>
        <v>0</v>
      </c>
      <c r="F67" s="2"/>
      <c r="G67" s="3" t="s">
        <v>188</v>
      </c>
      <c r="H67">
        <v>4</v>
      </c>
      <c r="J67" s="3"/>
    </row>
    <row r="68" spans="1:10" ht="15.75" x14ac:dyDescent="0.25">
      <c r="A68" t="s">
        <v>67</v>
      </c>
      <c r="B68">
        <v>-0.03</v>
      </c>
      <c r="D68" s="4">
        <v>-0.03</v>
      </c>
      <c r="E68" s="2">
        <f t="shared" si="2"/>
        <v>0</v>
      </c>
      <c r="F68" s="2"/>
      <c r="G68" s="3" t="s">
        <v>189</v>
      </c>
      <c r="H68">
        <v>10</v>
      </c>
      <c r="J68" s="3"/>
    </row>
    <row r="69" spans="1:10" ht="15.75" x14ac:dyDescent="0.25">
      <c r="A69" t="s">
        <v>68</v>
      </c>
      <c r="B69">
        <v>0.1</v>
      </c>
      <c r="D69">
        <f>H77</f>
        <v>0.1</v>
      </c>
      <c r="E69" s="2">
        <f t="shared" si="2"/>
        <v>0</v>
      </c>
      <c r="F69" s="2"/>
      <c r="G69" s="3" t="s">
        <v>190</v>
      </c>
      <c r="H69">
        <v>16</v>
      </c>
      <c r="J69" s="3"/>
    </row>
    <row r="70" spans="1:10" ht="15.75" x14ac:dyDescent="0.25">
      <c r="A70" t="s">
        <v>69</v>
      </c>
      <c r="B70">
        <v>16</v>
      </c>
      <c r="D70">
        <f>H69</f>
        <v>16</v>
      </c>
      <c r="E70" s="2">
        <f t="shared" si="2"/>
        <v>0</v>
      </c>
      <c r="F70" s="2"/>
      <c r="G70" s="3" t="s">
        <v>191</v>
      </c>
      <c r="H70">
        <v>16</v>
      </c>
      <c r="J70" s="3"/>
    </row>
    <row r="71" spans="1:10" ht="15.75" x14ac:dyDescent="0.25">
      <c r="A71" t="s">
        <v>70</v>
      </c>
      <c r="B71">
        <v>10</v>
      </c>
      <c r="D71">
        <f>H78</f>
        <v>10</v>
      </c>
      <c r="E71" s="2">
        <f t="shared" si="2"/>
        <v>0</v>
      </c>
      <c r="F71" s="2"/>
      <c r="G71" s="3" t="s">
        <v>192</v>
      </c>
      <c r="H71">
        <v>46</v>
      </c>
      <c r="J71" s="3"/>
    </row>
    <row r="72" spans="1:10" ht="15.75" x14ac:dyDescent="0.25">
      <c r="A72" t="s">
        <v>71</v>
      </c>
      <c r="B72">
        <v>16</v>
      </c>
      <c r="D72">
        <f>H70</f>
        <v>16</v>
      </c>
      <c r="E72" s="2">
        <f t="shared" si="2"/>
        <v>0</v>
      </c>
      <c r="F72" s="2"/>
      <c r="G72" s="3" t="s">
        <v>193</v>
      </c>
      <c r="H72">
        <v>39</v>
      </c>
      <c r="J72" s="3"/>
    </row>
    <row r="73" spans="1:10" ht="15.75" x14ac:dyDescent="0.25">
      <c r="A73" t="s">
        <v>72</v>
      </c>
      <c r="B73">
        <v>20</v>
      </c>
      <c r="D73">
        <f>H79</f>
        <v>20</v>
      </c>
      <c r="E73" s="2">
        <f t="shared" si="2"/>
        <v>0</v>
      </c>
      <c r="F73" s="2"/>
      <c r="G73" s="3" t="s">
        <v>194</v>
      </c>
      <c r="H73">
        <v>4.2</v>
      </c>
      <c r="J73" s="3"/>
    </row>
    <row r="74" spans="1:10" ht="15.75" x14ac:dyDescent="0.25">
      <c r="A74" t="s">
        <v>73</v>
      </c>
      <c r="B74">
        <v>46</v>
      </c>
      <c r="D74">
        <f>H71</f>
        <v>46</v>
      </c>
      <c r="E74" s="2">
        <f t="shared" si="2"/>
        <v>0</v>
      </c>
      <c r="F74" s="2"/>
      <c r="G74" s="3" t="s">
        <v>195</v>
      </c>
      <c r="H74">
        <v>8.9999999999999993E-3</v>
      </c>
      <c r="J74" s="3"/>
    </row>
    <row r="75" spans="1:10" ht="15.75" x14ac:dyDescent="0.25">
      <c r="A75" t="s">
        <v>74</v>
      </c>
      <c r="B75">
        <v>60</v>
      </c>
      <c r="D75">
        <f>H80</f>
        <v>60</v>
      </c>
      <c r="E75" s="2">
        <f t="shared" si="2"/>
        <v>0</v>
      </c>
      <c r="F75" s="2"/>
      <c r="G75" s="3" t="s">
        <v>196</v>
      </c>
      <c r="H75">
        <v>0.11</v>
      </c>
      <c r="J75" s="3"/>
    </row>
    <row r="76" spans="1:10" ht="15.75" x14ac:dyDescent="0.25">
      <c r="A76" t="s">
        <v>75</v>
      </c>
      <c r="B76">
        <v>39</v>
      </c>
      <c r="D76">
        <f>H72</f>
        <v>39</v>
      </c>
      <c r="E76" s="2">
        <f t="shared" si="2"/>
        <v>0</v>
      </c>
      <c r="F76" s="2"/>
      <c r="G76" s="3" t="s">
        <v>197</v>
      </c>
      <c r="H76">
        <v>5</v>
      </c>
      <c r="J76" s="3"/>
    </row>
    <row r="77" spans="1:10" ht="15.75" x14ac:dyDescent="0.25">
      <c r="A77" t="s">
        <v>76</v>
      </c>
      <c r="B77">
        <v>1</v>
      </c>
      <c r="D77">
        <f>H139</f>
        <v>1</v>
      </c>
      <c r="E77" s="2">
        <f t="shared" si="2"/>
        <v>0</v>
      </c>
      <c r="F77" s="2"/>
      <c r="G77" s="3" t="s">
        <v>198</v>
      </c>
      <c r="H77">
        <v>0.1</v>
      </c>
      <c r="J77" s="3"/>
    </row>
    <row r="78" spans="1:10" ht="15.75" x14ac:dyDescent="0.25">
      <c r="A78" t="s">
        <v>77</v>
      </c>
      <c r="B78">
        <v>0.6</v>
      </c>
      <c r="D78">
        <f>H108</f>
        <v>0.6</v>
      </c>
      <c r="E78" s="2">
        <f t="shared" si="2"/>
        <v>0</v>
      </c>
      <c r="F78" s="2"/>
      <c r="G78" s="3" t="s">
        <v>199</v>
      </c>
      <c r="H78">
        <v>10</v>
      </c>
      <c r="J78" s="3"/>
    </row>
    <row r="79" spans="1:10" ht="15.75" x14ac:dyDescent="0.25">
      <c r="A79" t="s">
        <v>78</v>
      </c>
      <c r="B79">
        <v>3.3</v>
      </c>
      <c r="D79">
        <f>H121</f>
        <v>3.3</v>
      </c>
      <c r="E79" s="2">
        <f t="shared" si="2"/>
        <v>0</v>
      </c>
      <c r="F79" s="2"/>
      <c r="G79" s="3" t="s">
        <v>200</v>
      </c>
      <c r="H79">
        <v>20</v>
      </c>
      <c r="J79" s="3"/>
    </row>
    <row r="80" spans="1:10" ht="15.75" x14ac:dyDescent="0.25">
      <c r="A80" t="s">
        <v>79</v>
      </c>
      <c r="B80">
        <v>0</v>
      </c>
      <c r="D80">
        <f>H83</f>
        <v>0</v>
      </c>
      <c r="E80" s="2">
        <f t="shared" si="2"/>
        <v>0</v>
      </c>
      <c r="F80" s="2"/>
      <c r="G80" s="3" t="s">
        <v>201</v>
      </c>
      <c r="H80">
        <v>60</v>
      </c>
      <c r="J80" s="3"/>
    </row>
    <row r="81" spans="1:10" ht="15.75" x14ac:dyDescent="0.25">
      <c r="A81" t="s">
        <v>80</v>
      </c>
      <c r="B81">
        <v>55</v>
      </c>
      <c r="D81">
        <f>H123</f>
        <v>55</v>
      </c>
      <c r="E81" s="2">
        <f t="shared" si="2"/>
        <v>0</v>
      </c>
      <c r="F81" s="2"/>
      <c r="G81" s="3" t="s">
        <v>202</v>
      </c>
      <c r="H81">
        <v>2.1</v>
      </c>
      <c r="J81" s="3"/>
    </row>
    <row r="82" spans="1:10" ht="15.75" x14ac:dyDescent="0.25">
      <c r="A82" t="s">
        <v>81</v>
      </c>
      <c r="B82">
        <v>0.83499999999999996</v>
      </c>
      <c r="D82">
        <f>H126</f>
        <v>0.83499999999999996</v>
      </c>
      <c r="E82" s="2">
        <f t="shared" si="2"/>
        <v>0</v>
      </c>
      <c r="F82" s="2"/>
      <c r="G82" s="3" t="s">
        <v>203</v>
      </c>
      <c r="H82">
        <v>0.55000000000000004</v>
      </c>
      <c r="J82" s="3"/>
    </row>
    <row r="83" spans="1:10" ht="15.75" x14ac:dyDescent="0.25">
      <c r="A83" t="s">
        <v>82</v>
      </c>
      <c r="B83">
        <v>1</v>
      </c>
      <c r="D83">
        <f>H125</f>
        <v>1</v>
      </c>
      <c r="E83" s="2">
        <f t="shared" si="2"/>
        <v>0</v>
      </c>
      <c r="F83" s="2"/>
      <c r="G83" s="3" t="s">
        <v>204</v>
      </c>
      <c r="H83">
        <v>0</v>
      </c>
      <c r="J83" s="3"/>
    </row>
    <row r="84" spans="1:10" ht="15.75" x14ac:dyDescent="0.25">
      <c r="A84" t="s">
        <v>83</v>
      </c>
      <c r="B84">
        <v>0.5</v>
      </c>
      <c r="D84">
        <f>H122</f>
        <v>0.5</v>
      </c>
      <c r="E84" s="2">
        <f t="shared" si="2"/>
        <v>0</v>
      </c>
      <c r="F84" s="2"/>
      <c r="G84" s="3" t="s">
        <v>205</v>
      </c>
      <c r="H84">
        <v>0.5</v>
      </c>
      <c r="J84" s="3"/>
    </row>
    <row r="85" spans="1:10" ht="15.75" x14ac:dyDescent="0.25">
      <c r="A85" t="s">
        <v>84</v>
      </c>
      <c r="B85">
        <v>1</v>
      </c>
      <c r="D85">
        <f>H124</f>
        <v>1</v>
      </c>
      <c r="E85" s="2">
        <f t="shared" si="2"/>
        <v>0</v>
      </c>
      <c r="F85" s="2"/>
      <c r="G85" s="3" t="s">
        <v>206</v>
      </c>
      <c r="H85">
        <v>3.0781485304786777E-5</v>
      </c>
      <c r="J85" s="3"/>
    </row>
    <row r="86" spans="1:10" ht="15.75" x14ac:dyDescent="0.25">
      <c r="A86" t="s">
        <v>85</v>
      </c>
      <c r="B86">
        <v>5</v>
      </c>
      <c r="D86">
        <f>H127</f>
        <v>5</v>
      </c>
      <c r="E86" s="2">
        <f t="shared" si="2"/>
        <v>0</v>
      </c>
      <c r="F86" s="2"/>
      <c r="G86" s="3" t="s">
        <v>207</v>
      </c>
      <c r="H86">
        <v>0.99945741104091002</v>
      </c>
      <c r="J86" s="3"/>
    </row>
    <row r="87" spans="1:10" ht="15.75" x14ac:dyDescent="0.25">
      <c r="A87" t="s">
        <v>86</v>
      </c>
      <c r="B87">
        <v>0.153</v>
      </c>
      <c r="D87">
        <f>H94</f>
        <v>0.153</v>
      </c>
      <c r="E87" s="2">
        <f t="shared" si="2"/>
        <v>0</v>
      </c>
      <c r="F87" s="2"/>
      <c r="G87" s="3" t="s">
        <v>208</v>
      </c>
      <c r="H87">
        <v>0.99997174042757886</v>
      </c>
      <c r="J87" s="3"/>
    </row>
    <row r="88" spans="1:10" ht="15.75" x14ac:dyDescent="0.25">
      <c r="A88" t="s">
        <v>87</v>
      </c>
      <c r="B88">
        <v>1.46E-2</v>
      </c>
      <c r="D88">
        <f>H100</f>
        <v>1.46E-2</v>
      </c>
      <c r="E88" s="2">
        <f t="shared" si="2"/>
        <v>0</v>
      </c>
      <c r="F88" s="2"/>
      <c r="G88" s="3" t="s">
        <v>209</v>
      </c>
      <c r="H88">
        <v>0.97943554234573826</v>
      </c>
      <c r="J88" s="3"/>
    </row>
    <row r="89" spans="1:10" ht="15.75" x14ac:dyDescent="0.25">
      <c r="A89" t="s">
        <v>88</v>
      </c>
      <c r="B89">
        <v>0.39200000000000002</v>
      </c>
      <c r="D89">
        <f>H95</f>
        <v>0.39200000000000002</v>
      </c>
      <c r="E89" s="2">
        <f t="shared" si="2"/>
        <v>0</v>
      </c>
      <c r="F89" s="2"/>
      <c r="G89" s="3" t="s">
        <v>210</v>
      </c>
      <c r="H89">
        <v>0.6</v>
      </c>
      <c r="J89" s="3"/>
    </row>
    <row r="90" spans="1:10" ht="15.75" x14ac:dyDescent="0.25">
      <c r="A90" t="s">
        <v>89</v>
      </c>
      <c r="B90">
        <v>5.4050000000000002</v>
      </c>
      <c r="D90">
        <f>H92</f>
        <v>5.4050000000000002</v>
      </c>
      <c r="E90" s="2">
        <f t="shared" si="2"/>
        <v>0</v>
      </c>
      <c r="F90" s="2"/>
      <c r="G90" s="3" t="s">
        <v>211</v>
      </c>
      <c r="H90">
        <v>0.52</v>
      </c>
      <c r="J90" s="3"/>
    </row>
    <row r="91" spans="1:10" ht="15.75" x14ac:dyDescent="0.25">
      <c r="A91" t="s">
        <v>90</v>
      </c>
      <c r="B91">
        <v>2.7240000000000002</v>
      </c>
      <c r="D91">
        <f>H40</f>
        <v>2.7240000000000002</v>
      </c>
      <c r="E91" s="2">
        <f t="shared" si="2"/>
        <v>0</v>
      </c>
      <c r="F91" s="2"/>
      <c r="G91" s="3" t="s">
        <v>212</v>
      </c>
      <c r="H91">
        <v>5.0000000000000002E-5</v>
      </c>
      <c r="J91" s="3"/>
    </row>
    <row r="92" spans="1:10" ht="15.75" x14ac:dyDescent="0.25">
      <c r="A92" t="s">
        <v>91</v>
      </c>
      <c r="B92">
        <v>0.03</v>
      </c>
      <c r="D92">
        <f>H41</f>
        <v>0.03</v>
      </c>
      <c r="E92" s="2">
        <f t="shared" si="2"/>
        <v>0</v>
      </c>
      <c r="F92" s="2"/>
      <c r="G92" s="3" t="s">
        <v>213</v>
      </c>
      <c r="H92">
        <v>5.4050000000000002</v>
      </c>
      <c r="J92" s="3"/>
    </row>
    <row r="93" spans="1:10" ht="15.75" x14ac:dyDescent="0.25">
      <c r="A93" t="s">
        <v>92</v>
      </c>
      <c r="B93">
        <v>1</v>
      </c>
      <c r="D93">
        <f>H28</f>
        <v>1</v>
      </c>
      <c r="E93" s="2">
        <f t="shared" si="2"/>
        <v>0</v>
      </c>
      <c r="F93" s="2"/>
      <c r="G93" s="3" t="s">
        <v>214</v>
      </c>
      <c r="H93">
        <v>1.59294</v>
      </c>
      <c r="J93" s="3"/>
    </row>
    <row r="94" spans="1:10" ht="15.75" x14ac:dyDescent="0.25">
      <c r="A94" t="s">
        <v>93</v>
      </c>
      <c r="B94">
        <v>40</v>
      </c>
      <c r="D94">
        <f>H27</f>
        <v>40</v>
      </c>
      <c r="E94" s="2">
        <f t="shared" si="2"/>
        <v>0</v>
      </c>
      <c r="F94" s="2"/>
      <c r="G94" s="3" t="s">
        <v>215</v>
      </c>
      <c r="H94">
        <v>0.153</v>
      </c>
      <c r="J94" s="3"/>
    </row>
    <row r="95" spans="1:10" ht="15.75" x14ac:dyDescent="0.25">
      <c r="A95" t="s">
        <v>94</v>
      </c>
      <c r="B95">
        <v>0.73499999999999999</v>
      </c>
      <c r="D95">
        <f>H101</f>
        <v>0.73499999999999999</v>
      </c>
      <c r="E95" s="2">
        <f t="shared" si="2"/>
        <v>0</v>
      </c>
      <c r="F95" s="2"/>
      <c r="G95" s="3" t="s">
        <v>216</v>
      </c>
      <c r="H95">
        <v>0.39200000000000002</v>
      </c>
      <c r="J95" s="3"/>
    </row>
    <row r="96" spans="1:10" ht="15.75" x14ac:dyDescent="0.25">
      <c r="A96" t="s">
        <v>95</v>
      </c>
      <c r="B96">
        <v>14.837999999999999</v>
      </c>
      <c r="D96">
        <f>H96</f>
        <v>14.837999999999999</v>
      </c>
      <c r="E96" s="2">
        <f t="shared" si="2"/>
        <v>0</v>
      </c>
      <c r="F96" s="2"/>
      <c r="G96" s="3" t="s">
        <v>217</v>
      </c>
      <c r="H96">
        <v>14.837999999999999</v>
      </c>
      <c r="J96" s="3"/>
    </row>
    <row r="97" spans="1:13" ht="15.75" x14ac:dyDescent="0.25">
      <c r="A97" t="s">
        <v>96</v>
      </c>
      <c r="B97">
        <v>2.9E-4</v>
      </c>
      <c r="D97">
        <f>H98</f>
        <v>2.9E-4</v>
      </c>
      <c r="E97" s="2">
        <f t="shared" si="2"/>
        <v>0</v>
      </c>
      <c r="F97" s="2"/>
      <c r="G97" s="3" t="s">
        <v>218</v>
      </c>
      <c r="H97">
        <v>5.9199999999999997E-4</v>
      </c>
      <c r="J97" s="3"/>
    </row>
    <row r="98" spans="1:13" ht="15.75" x14ac:dyDescent="0.25">
      <c r="A98" t="s">
        <v>97</v>
      </c>
      <c r="B98">
        <v>1</v>
      </c>
      <c r="D98">
        <f>H62</f>
        <v>1</v>
      </c>
      <c r="E98" s="2">
        <f t="shared" si="2"/>
        <v>0</v>
      </c>
      <c r="F98" s="2"/>
      <c r="G98" s="3" t="s">
        <v>219</v>
      </c>
      <c r="H98">
        <v>2.9E-4</v>
      </c>
      <c r="J98" s="3"/>
    </row>
    <row r="99" spans="1:13" ht="15.75" x14ac:dyDescent="0.25">
      <c r="A99" t="s">
        <v>98</v>
      </c>
      <c r="B99">
        <v>0.35</v>
      </c>
      <c r="D99">
        <f>H102</f>
        <v>0.35</v>
      </c>
      <c r="E99" s="2">
        <f t="shared" si="2"/>
        <v>0</v>
      </c>
      <c r="F99" s="2"/>
      <c r="G99" s="3" t="s">
        <v>220</v>
      </c>
      <c r="H99">
        <v>0.24759999999999999</v>
      </c>
      <c r="J99" s="3"/>
    </row>
    <row r="100" spans="1:13" ht="15.75" x14ac:dyDescent="0.25">
      <c r="A100" t="s">
        <v>99</v>
      </c>
      <c r="B100" s="6">
        <v>10000</v>
      </c>
      <c r="C100" s="6"/>
      <c r="D100" s="6">
        <f>H20</f>
        <v>5000</v>
      </c>
      <c r="E100" s="2">
        <f t="shared" si="2"/>
        <v>-5000</v>
      </c>
      <c r="F100" s="2"/>
      <c r="G100" s="3" t="s">
        <v>221</v>
      </c>
      <c r="H100">
        <v>1.46E-2</v>
      </c>
      <c r="J100" s="3"/>
    </row>
    <row r="101" spans="1:13" ht="15.75" x14ac:dyDescent="0.25">
      <c r="A101" t="s">
        <v>100</v>
      </c>
      <c r="B101">
        <v>0.1</v>
      </c>
      <c r="D101">
        <f>H31</f>
        <v>0.1</v>
      </c>
      <c r="E101" s="2">
        <f t="shared" si="2"/>
        <v>0</v>
      </c>
      <c r="F101" s="2"/>
      <c r="G101" s="3" t="s">
        <v>222</v>
      </c>
      <c r="H101">
        <v>0.73499999999999999</v>
      </c>
      <c r="J101" s="3"/>
    </row>
    <row r="102" spans="1:13" ht="15.75" x14ac:dyDescent="0.25">
      <c r="A102" t="s">
        <v>101</v>
      </c>
      <c r="B102">
        <v>1.38</v>
      </c>
      <c r="D102">
        <f>H34</f>
        <v>1.38</v>
      </c>
      <c r="E102" s="2">
        <f t="shared" si="2"/>
        <v>0</v>
      </c>
      <c r="F102" s="2"/>
      <c r="G102" s="3" t="s">
        <v>223</v>
      </c>
      <c r="H102">
        <v>0.35</v>
      </c>
      <c r="J102" s="3"/>
    </row>
    <row r="103" spans="1:13" ht="15.75" x14ac:dyDescent="0.25">
      <c r="A103" t="s">
        <v>102</v>
      </c>
      <c r="B103">
        <v>87.5</v>
      </c>
      <c r="D103">
        <f>H35</f>
        <v>87.5</v>
      </c>
      <c r="E103" s="2">
        <f t="shared" si="2"/>
        <v>0</v>
      </c>
      <c r="F103" s="2"/>
      <c r="G103" s="3" t="s">
        <v>224</v>
      </c>
      <c r="H103">
        <v>0.76315914105014415</v>
      </c>
      <c r="J103" s="3"/>
    </row>
    <row r="104" spans="1:13" ht="15.75" x14ac:dyDescent="0.25">
      <c r="A104" t="s">
        <v>103</v>
      </c>
      <c r="B104">
        <v>5.9199999999999997E-4</v>
      </c>
      <c r="D104">
        <f>H97</f>
        <v>5.9199999999999997E-4</v>
      </c>
      <c r="E104" s="2">
        <f t="shared" si="2"/>
        <v>0</v>
      </c>
      <c r="F104" s="2"/>
      <c r="G104" s="3" t="s">
        <v>225</v>
      </c>
      <c r="H104">
        <v>0.76151110331456373</v>
      </c>
      <c r="J104" s="3"/>
    </row>
    <row r="105" spans="1:13" ht="15.75" x14ac:dyDescent="0.25">
      <c r="A105" t="s">
        <v>104</v>
      </c>
      <c r="B105">
        <v>0.24759999999999999</v>
      </c>
      <c r="D105">
        <f>H99</f>
        <v>0.24759999999999999</v>
      </c>
      <c r="E105" s="2">
        <f t="shared" si="2"/>
        <v>0</v>
      </c>
      <c r="F105" s="2"/>
      <c r="G105" s="3" t="s">
        <v>226</v>
      </c>
      <c r="H105">
        <v>28</v>
      </c>
      <c r="J105" s="3"/>
      <c r="M105" s="1"/>
    </row>
    <row r="106" spans="1:13" ht="15.75" x14ac:dyDescent="0.25">
      <c r="A106" t="s">
        <v>105</v>
      </c>
      <c r="B106">
        <v>5.0000000000000001E-4</v>
      </c>
      <c r="D106">
        <f>H30</f>
        <v>5.0000000000000001E-4</v>
      </c>
      <c r="E106" s="2">
        <f t="shared" si="2"/>
        <v>0</v>
      </c>
      <c r="F106" s="2"/>
      <c r="G106" s="3" t="s">
        <v>227</v>
      </c>
      <c r="H106">
        <v>2.5000000000000001E-2</v>
      </c>
      <c r="J106" s="3"/>
    </row>
    <row r="107" spans="1:13" ht="15.75" x14ac:dyDescent="0.25">
      <c r="A107" t="s">
        <v>106</v>
      </c>
      <c r="B107" s="1">
        <v>5.0000000000000002E-5</v>
      </c>
      <c r="D107">
        <f>H91</f>
        <v>5.0000000000000002E-5</v>
      </c>
      <c r="E107" s="2">
        <f t="shared" si="2"/>
        <v>0</v>
      </c>
      <c r="F107" s="2"/>
      <c r="G107" s="3" t="s">
        <v>228</v>
      </c>
      <c r="H107">
        <v>5.0000000000000001E-3</v>
      </c>
      <c r="J107" s="3"/>
    </row>
    <row r="108" spans="1:13" ht="15.75" x14ac:dyDescent="0.25">
      <c r="A108" t="s">
        <v>107</v>
      </c>
      <c r="B108">
        <v>0</v>
      </c>
      <c r="D108" s="4">
        <v>0</v>
      </c>
      <c r="E108" s="2">
        <f t="shared" si="2"/>
        <v>0</v>
      </c>
      <c r="F108" s="2"/>
      <c r="G108" s="3" t="s">
        <v>123</v>
      </c>
      <c r="H108">
        <v>0.6</v>
      </c>
      <c r="J108" s="3"/>
    </row>
    <row r="109" spans="1:13" ht="15.75" x14ac:dyDescent="0.25">
      <c r="A109" t="s">
        <v>108</v>
      </c>
      <c r="B109">
        <v>6.8999999999999999E-3</v>
      </c>
      <c r="D109" s="4">
        <v>6.8999999999999999E-3</v>
      </c>
      <c r="E109" s="2">
        <f t="shared" si="2"/>
        <v>0</v>
      </c>
      <c r="F109" s="2"/>
      <c r="G109" s="3" t="s">
        <v>229</v>
      </c>
      <c r="H109">
        <v>2.1</v>
      </c>
      <c r="J109" s="3"/>
    </row>
    <row r="110" spans="1:13" ht="15.75" x14ac:dyDescent="0.25">
      <c r="A110" t="s">
        <v>109</v>
      </c>
      <c r="B110">
        <v>6.8</v>
      </c>
      <c r="D110">
        <f>H1</f>
        <v>6.8</v>
      </c>
      <c r="E110" s="2">
        <f t="shared" si="2"/>
        <v>0</v>
      </c>
      <c r="F110" s="2"/>
      <c r="G110" s="3" t="s">
        <v>230</v>
      </c>
      <c r="H110">
        <v>0.06</v>
      </c>
      <c r="J110" s="3"/>
    </row>
    <row r="111" spans="1:13" ht="15.75" x14ac:dyDescent="0.25">
      <c r="A111" t="s">
        <v>110</v>
      </c>
      <c r="B111">
        <v>9.7600000000000006E-2</v>
      </c>
      <c r="D111">
        <f>H33</f>
        <v>9.7600000000000006E-2</v>
      </c>
      <c r="E111" s="2">
        <f t="shared" si="2"/>
        <v>0</v>
      </c>
      <c r="F111" s="2"/>
      <c r="G111" s="3" t="s">
        <v>231</v>
      </c>
      <c r="H111">
        <v>1000</v>
      </c>
      <c r="J111" s="3"/>
    </row>
    <row r="112" spans="1:13" ht="15.75" x14ac:dyDescent="0.25">
      <c r="A112" t="s">
        <v>111</v>
      </c>
      <c r="B112">
        <v>1.59294</v>
      </c>
      <c r="D112" s="5">
        <v>1.59294</v>
      </c>
      <c r="E112" s="2">
        <f t="shared" si="2"/>
        <v>0</v>
      </c>
      <c r="F112" s="2"/>
      <c r="G112" s="3" t="s">
        <v>232</v>
      </c>
      <c r="H112">
        <v>0.44496220100714784</v>
      </c>
      <c r="J112" s="3"/>
    </row>
    <row r="113" spans="1:10" ht="15.75" x14ac:dyDescent="0.25">
      <c r="A113" t="s">
        <v>112</v>
      </c>
      <c r="B113">
        <v>4</v>
      </c>
      <c r="D113">
        <f>H29</f>
        <v>5.4</v>
      </c>
      <c r="E113" s="2">
        <f t="shared" si="2"/>
        <v>1.4000000000000004</v>
      </c>
      <c r="F113" s="2"/>
      <c r="G113" s="3" t="s">
        <v>233</v>
      </c>
      <c r="H113">
        <v>0.38700213420902607</v>
      </c>
      <c r="J113" s="3"/>
    </row>
    <row r="114" spans="1:10" ht="15.75" x14ac:dyDescent="0.25">
      <c r="A114" t="s">
        <v>113</v>
      </c>
      <c r="B114">
        <v>1.75</v>
      </c>
      <c r="D114" s="4">
        <v>1.75</v>
      </c>
      <c r="E114" s="2">
        <f t="shared" si="2"/>
        <v>0</v>
      </c>
      <c r="F114" s="2"/>
      <c r="G114" s="3" t="s">
        <v>234</v>
      </c>
      <c r="H114">
        <v>0.38702517683661503</v>
      </c>
      <c r="J114" s="3"/>
    </row>
    <row r="115" spans="1:10" ht="15.75" x14ac:dyDescent="0.25">
      <c r="A115" t="s">
        <v>114</v>
      </c>
      <c r="B115">
        <v>1.7000000000000001E-4</v>
      </c>
      <c r="D115" s="4">
        <v>1.7000000000000001E-4</v>
      </c>
      <c r="E115" s="2">
        <f t="shared" si="2"/>
        <v>0</v>
      </c>
      <c r="F115" s="2"/>
      <c r="G115" s="3" t="s">
        <v>235</v>
      </c>
      <c r="H115">
        <v>5.7937024170532793E-2</v>
      </c>
      <c r="J115" s="3"/>
    </row>
    <row r="116" spans="1:10" ht="15.75" x14ac:dyDescent="0.25">
      <c r="A116" t="s">
        <v>115</v>
      </c>
      <c r="B116">
        <v>0.15</v>
      </c>
      <c r="D116" s="4">
        <v>0.15</v>
      </c>
      <c r="E116" s="2">
        <f t="shared" si="2"/>
        <v>0</v>
      </c>
      <c r="F116" s="2"/>
      <c r="G116" s="3" t="s">
        <v>236</v>
      </c>
      <c r="H116">
        <v>450</v>
      </c>
      <c r="J116" s="3"/>
    </row>
    <row r="117" spans="1:10" ht="15.75" x14ac:dyDescent="0.25">
      <c r="A117" t="s">
        <v>116</v>
      </c>
      <c r="B117">
        <v>0.05</v>
      </c>
      <c r="D117" s="4">
        <v>0.05</v>
      </c>
      <c r="E117" s="2">
        <f t="shared" si="2"/>
        <v>0</v>
      </c>
      <c r="F117" s="2"/>
      <c r="G117" s="3" t="s">
        <v>237</v>
      </c>
      <c r="H117">
        <v>0.9</v>
      </c>
      <c r="J117" s="3"/>
    </row>
    <row r="118" spans="1:10" ht="15.75" x14ac:dyDescent="0.25">
      <c r="A118" t="s">
        <v>117</v>
      </c>
      <c r="B118">
        <v>6.8000000000000005E-4</v>
      </c>
      <c r="D118" s="4">
        <v>6.8000000000000005E-4</v>
      </c>
      <c r="E118" s="2">
        <f t="shared" si="2"/>
        <v>0</v>
      </c>
      <c r="F118" s="2"/>
      <c r="G118" s="3" t="s">
        <v>238</v>
      </c>
      <c r="H118">
        <v>1.4831141413102712E-3</v>
      </c>
      <c r="J118" s="3"/>
    </row>
    <row r="119" spans="1:10" ht="15.75" x14ac:dyDescent="0.25">
      <c r="A119" t="s">
        <v>118</v>
      </c>
      <c r="B119">
        <v>0.05</v>
      </c>
      <c r="D119" s="4">
        <v>0.05</v>
      </c>
      <c r="E119" s="2">
        <f t="shared" si="2"/>
        <v>0</v>
      </c>
      <c r="F119" s="2"/>
      <c r="G119" s="3" t="s">
        <v>239</v>
      </c>
      <c r="H119">
        <v>2.5</v>
      </c>
      <c r="J119" s="3"/>
    </row>
    <row r="120" spans="1:10" ht="15.75" x14ac:dyDescent="0.25">
      <c r="A120" t="s">
        <v>119</v>
      </c>
      <c r="B120">
        <v>1.5E-3</v>
      </c>
      <c r="D120" s="4">
        <v>1.5E-3</v>
      </c>
      <c r="E120" s="2">
        <f t="shared" si="2"/>
        <v>0</v>
      </c>
      <c r="F120" s="2"/>
      <c r="G120" s="3" t="s">
        <v>240</v>
      </c>
      <c r="H120">
        <v>1</v>
      </c>
      <c r="J120" s="3"/>
    </row>
    <row r="121" spans="1:10" ht="15.75" x14ac:dyDescent="0.25">
      <c r="A121" t="s">
        <v>120</v>
      </c>
      <c r="B121">
        <v>4.75</v>
      </c>
      <c r="D121" s="4">
        <v>4.75</v>
      </c>
      <c r="E121" s="2">
        <f t="shared" si="2"/>
        <v>0</v>
      </c>
      <c r="F121" s="2"/>
      <c r="G121" s="3" t="s">
        <v>241</v>
      </c>
      <c r="H121">
        <v>3.3</v>
      </c>
      <c r="J121" s="3"/>
    </row>
    <row r="122" spans="1:10" x14ac:dyDescent="0.25">
      <c r="G122" s="3" t="s">
        <v>242</v>
      </c>
      <c r="H122">
        <v>0.5</v>
      </c>
      <c r="J122" s="3"/>
    </row>
    <row r="123" spans="1:10" x14ac:dyDescent="0.25">
      <c r="G123" s="3" t="s">
        <v>243</v>
      </c>
      <c r="H123">
        <v>55</v>
      </c>
      <c r="J123" s="3"/>
    </row>
    <row r="124" spans="1:10" x14ac:dyDescent="0.25">
      <c r="G124" s="3" t="s">
        <v>244</v>
      </c>
      <c r="H124">
        <v>1</v>
      </c>
      <c r="J124" s="3"/>
    </row>
    <row r="125" spans="1:10" x14ac:dyDescent="0.25">
      <c r="G125" s="3" t="s">
        <v>245</v>
      </c>
      <c r="H125">
        <v>1</v>
      </c>
      <c r="J125" s="3"/>
    </row>
    <row r="126" spans="1:10" x14ac:dyDescent="0.25">
      <c r="G126" s="3" t="s">
        <v>246</v>
      </c>
      <c r="H126">
        <v>0.83499999999999996</v>
      </c>
      <c r="J126" s="3"/>
    </row>
    <row r="127" spans="1:10" x14ac:dyDescent="0.25">
      <c r="G127" s="3" t="s">
        <v>247</v>
      </c>
      <c r="H127">
        <v>5</v>
      </c>
      <c r="J127" s="3"/>
    </row>
    <row r="128" spans="1:10" x14ac:dyDescent="0.25">
      <c r="G128" s="3" t="s">
        <v>248</v>
      </c>
      <c r="H128">
        <v>0.54810276608395758</v>
      </c>
      <c r="J128" s="3"/>
    </row>
    <row r="129" spans="7:10" x14ac:dyDescent="0.25">
      <c r="G129" s="3" t="s">
        <v>249</v>
      </c>
      <c r="H129">
        <v>0.02</v>
      </c>
      <c r="J129" s="3"/>
    </row>
    <row r="130" spans="7:10" x14ac:dyDescent="0.25">
      <c r="G130" s="3" t="s">
        <v>250</v>
      </c>
      <c r="H130">
        <v>1.7299999999999999E-2</v>
      </c>
      <c r="J130" s="3"/>
    </row>
    <row r="131" spans="7:10" x14ac:dyDescent="0.25">
      <c r="G131" s="3" t="s">
        <v>251</v>
      </c>
      <c r="H131">
        <v>0.25900000000000001</v>
      </c>
      <c r="J131" s="3"/>
    </row>
    <row r="132" spans="7:10" x14ac:dyDescent="0.25">
      <c r="G132" s="3" t="s">
        <v>252</v>
      </c>
      <c r="H132">
        <v>1.7299999999999999E-2</v>
      </c>
      <c r="J132" s="3"/>
    </row>
    <row r="133" spans="7:10" x14ac:dyDescent="0.25">
      <c r="G133" s="3" t="s">
        <v>253</v>
      </c>
      <c r="H133">
        <v>1.4999999999999999E-2</v>
      </c>
      <c r="J133" s="3"/>
    </row>
    <row r="134" spans="7:10" x14ac:dyDescent="0.25">
      <c r="G134" s="3" t="s">
        <v>254</v>
      </c>
      <c r="H134">
        <v>2.5524890442451702</v>
      </c>
      <c r="J134" s="3"/>
    </row>
    <row r="135" spans="7:10" x14ac:dyDescent="0.25">
      <c r="G135" s="3" t="s">
        <v>255</v>
      </c>
      <c r="H135">
        <v>2.1563613002687711E-8</v>
      </c>
      <c r="J135" s="3"/>
    </row>
    <row r="136" spans="7:10" x14ac:dyDescent="0.25">
      <c r="G136" s="3" t="s">
        <v>256</v>
      </c>
      <c r="H136">
        <v>0.46</v>
      </c>
      <c r="J136" s="3"/>
    </row>
    <row r="137" spans="7:10" x14ac:dyDescent="0.25">
      <c r="G137" s="3" t="s">
        <v>257</v>
      </c>
      <c r="H137">
        <v>0.55000000000000004</v>
      </c>
      <c r="J137" s="3"/>
    </row>
    <row r="138" spans="7:10" x14ac:dyDescent="0.25">
      <c r="G138" s="3" t="s">
        <v>258</v>
      </c>
      <c r="H138">
        <v>1.1399999999999999</v>
      </c>
      <c r="J138" s="3"/>
    </row>
    <row r="139" spans="7:10" x14ac:dyDescent="0.25">
      <c r="G139" s="3" t="s">
        <v>259</v>
      </c>
      <c r="H139">
        <v>1</v>
      </c>
      <c r="J139" s="3"/>
    </row>
    <row r="140" spans="7:10" x14ac:dyDescent="0.25">
      <c r="G140" s="3" t="s">
        <v>260</v>
      </c>
      <c r="H140">
        <v>0.9999981167221611</v>
      </c>
      <c r="J140" s="3"/>
    </row>
    <row r="141" spans="7:10" x14ac:dyDescent="0.25">
      <c r="G141" s="3" t="s">
        <v>261</v>
      </c>
      <c r="H141">
        <v>52</v>
      </c>
      <c r="J141" s="3"/>
    </row>
    <row r="142" spans="7:10" x14ac:dyDescent="0.25">
      <c r="G142" s="3" t="s">
        <v>262</v>
      </c>
      <c r="H142">
        <v>1</v>
      </c>
      <c r="J142" s="3"/>
    </row>
    <row r="143" spans="7:10" x14ac:dyDescent="0.25">
      <c r="G143" s="3" t="s">
        <v>263</v>
      </c>
      <c r="H143">
        <v>1000</v>
      </c>
      <c r="J143" s="3"/>
    </row>
    <row r="144" spans="7:10" x14ac:dyDescent="0.25">
      <c r="G144" s="3" t="s">
        <v>271</v>
      </c>
      <c r="H144">
        <v>1000</v>
      </c>
      <c r="J144" s="3"/>
    </row>
    <row r="145" spans="7:10" x14ac:dyDescent="0.25">
      <c r="G145" s="3" t="s">
        <v>264</v>
      </c>
      <c r="H145">
        <v>10</v>
      </c>
      <c r="J145" s="3"/>
    </row>
    <row r="146" spans="7:10" x14ac:dyDescent="0.25">
      <c r="G146" s="3" t="s">
        <v>265</v>
      </c>
      <c r="H146">
        <v>0.1</v>
      </c>
      <c r="J146" s="3"/>
    </row>
    <row r="147" spans="7:10" x14ac:dyDescent="0.25">
      <c r="G147" s="3" t="s">
        <v>266</v>
      </c>
      <c r="H147">
        <v>0</v>
      </c>
      <c r="J147" s="3"/>
    </row>
    <row r="148" spans="7:10" x14ac:dyDescent="0.25">
      <c r="G148" s="3" t="s">
        <v>267</v>
      </c>
      <c r="H148">
        <v>5.4999999999999997E-3</v>
      </c>
      <c r="J148" s="3"/>
    </row>
    <row r="149" spans="7:10" x14ac:dyDescent="0.25">
      <c r="G149" s="3" t="s">
        <v>268</v>
      </c>
      <c r="H149">
        <v>0</v>
      </c>
      <c r="J149" s="3"/>
    </row>
    <row r="150" spans="7:10" x14ac:dyDescent="0.25">
      <c r="G150" s="3" t="s">
        <v>269</v>
      </c>
      <c r="H150">
        <v>0.96428499999999995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NN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</dc:creator>
  <cp:lastModifiedBy>Nathalie</cp:lastModifiedBy>
  <dcterms:created xsi:type="dcterms:W3CDTF">2025-03-07T10:27:44Z</dcterms:created>
  <dcterms:modified xsi:type="dcterms:W3CDTF">2026-02-19T12:16:50Z</dcterms:modified>
</cp:coreProperties>
</file>